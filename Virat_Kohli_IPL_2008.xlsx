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C:\Users\Chetan Verma\Downloads\"/>
    </mc:Choice>
  </mc:AlternateContent>
  <xr:revisionPtr revIDLastSave="0" documentId="13_ncr:1_{9A072890-A2DF-4E09-9C5B-6B90ECCE1B84}" xr6:coauthVersionLast="47" xr6:coauthVersionMax="47" xr10:uidLastSave="{00000000-0000-0000-0000-000000000000}"/>
  <bookViews>
    <workbookView xWindow="-108" yWindow="-108" windowWidth="23256" windowHeight="12456" firstSheet="23" activeTab="26" xr2:uid="{00000000-000D-0000-FFFF-FFFF00000000}"/>
  </bookViews>
  <sheets>
    <sheet name="runs" sheetId="3" r:id="rId1"/>
    <sheet name="runs&amp;ball" sheetId="4" r:id="rId2"/>
    <sheet name="dotball" sheetId="5" r:id="rId3"/>
    <sheet name="innings&amp;runsagainstOpenenets" sheetId="6" r:id="rId4"/>
    <sheet name="battingAvg" sheetId="7" r:id="rId5"/>
    <sheet name="StrikeRate" sheetId="8" r:id="rId6"/>
    <sheet name="half&amp;century" sheetId="10" r:id="rId7"/>
    <sheet name="Four&amp;Six" sheetId="9" r:id="rId8"/>
    <sheet name="2008" sheetId="1" r:id="rId9"/>
    <sheet name="2009" sheetId="12" r:id="rId10"/>
    <sheet name="2010" sheetId="13" r:id="rId11"/>
    <sheet name="2011" sheetId="14" r:id="rId12"/>
    <sheet name="2012" sheetId="16" r:id="rId13"/>
    <sheet name="2013" sheetId="15" r:id="rId14"/>
    <sheet name="2014" sheetId="18" r:id="rId15"/>
    <sheet name="2015" sheetId="19" r:id="rId16"/>
    <sheet name="2016" sheetId="17" r:id="rId17"/>
    <sheet name="2017" sheetId="22" r:id="rId18"/>
    <sheet name="2018" sheetId="21" r:id="rId19"/>
    <sheet name="2019" sheetId="20" r:id="rId20"/>
    <sheet name="2020" sheetId="23" r:id="rId21"/>
    <sheet name="2021" sheetId="24" r:id="rId22"/>
    <sheet name="2022" sheetId="25" r:id="rId23"/>
    <sheet name="2023" sheetId="26" r:id="rId24"/>
    <sheet name="2024" sheetId="27" r:id="rId25"/>
    <sheet name="2025" sheetId="28" r:id="rId26"/>
    <sheet name="2008-2025" sheetId="29" r:id="rId27"/>
    <sheet name="KPI'S" sheetId="30" r:id="rId28"/>
    <sheet name="Dashboard" sheetId="11" r:id="rId29"/>
  </sheets>
  <definedNames>
    <definedName name="_xlcn.WorksheetConnection_Virat_Kohli_IPL_2008.xlsxTable3" hidden="1">Table3[]</definedName>
    <definedName name="_xlcn.WorksheetConnection_Virat_Kohli_IPL_2008.xlsxTable4" hidden="1">Table4[]</definedName>
    <definedName name="_xlcn.WorksheetConnection_Virat_Kohli_IPL_2008.xlsxTable5" hidden="1">Table5[]</definedName>
    <definedName name="Slicer_Year">#N/A</definedName>
  </definedNames>
  <calcPr calcId="191029"/>
  <pivotCaches>
    <pivotCache cacheId="0" r:id="rId30"/>
    <pivotCache cacheId="1" r:id="rId31"/>
    <pivotCache cacheId="2" r:id="rId32"/>
    <pivotCache cacheId="3" r:id="rId33"/>
  </pivotCaches>
  <extLst>
    <ext xmlns:x14="http://schemas.microsoft.com/office/spreadsheetml/2009/9/main" uri="{BBE1A952-AA13-448e-AADC-164F8A28A991}">
      <x14:slicerCaches>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Virat_Kohli_IPL_2008.xlsx!Table3"/>
          <x15:modelTable id="Table4" name="Table4" connection="WorksheetConnection_Virat_Kohli_IPL_2008.xlsx!Table4"/>
          <x15:modelTable id="Table5" name="Table5" connection="WorksheetConnection_Virat_Kohli_IPL_2008.xlsx!Table5"/>
        </x15:modelTables>
        <x15:modelRelationships>
          <x15:modelRelationship fromTable="Table3" fromColumn="Year" toTable="Table4" toColumn="Year"/>
          <x15:modelRelationship fromTable="Table3" fromColumn="Year" toTable="Table5"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6" i="30" l="1"/>
  <c r="R45" i="30"/>
  <c r="R44" i="30"/>
  <c r="R43" i="30"/>
  <c r="R42" i="30"/>
  <c r="R41" i="30"/>
  <c r="R40" i="30"/>
  <c r="R39" i="30"/>
  <c r="R38" i="30"/>
  <c r="R37" i="30"/>
  <c r="R36" i="30"/>
  <c r="R35" i="30"/>
  <c r="R34" i="30"/>
  <c r="R33" i="30"/>
  <c r="R32" i="30"/>
  <c r="R31" i="30"/>
  <c r="R30" i="30"/>
  <c r="R29" i="30"/>
  <c r="R28" i="30"/>
  <c r="M19" i="28"/>
  <c r="M19" i="27"/>
  <c r="M18" i="26"/>
  <c r="M20" i="25"/>
  <c r="M19" i="24"/>
  <c r="M19" i="23"/>
  <c r="M18" i="20"/>
  <c r="M18" i="21"/>
  <c r="M15" i="22"/>
  <c r="M21" i="17"/>
  <c r="M20" i="19"/>
  <c r="M18" i="18"/>
  <c r="M21" i="15"/>
  <c r="M19" i="16"/>
  <c r="M20" i="14"/>
  <c r="M19" i="13"/>
  <c r="M17" i="12"/>
  <c r="M17" i="1"/>
  <c r="O46" i="30"/>
  <c r="O45" i="30"/>
  <c r="O44" i="30"/>
  <c r="O43" i="30"/>
  <c r="O42" i="30"/>
  <c r="O41" i="30"/>
  <c r="O40" i="30"/>
  <c r="O39" i="30"/>
  <c r="O38" i="30"/>
  <c r="O37" i="30"/>
  <c r="O36" i="30"/>
  <c r="O35" i="30"/>
  <c r="O34" i="30"/>
  <c r="O33" i="30"/>
  <c r="O32" i="30"/>
  <c r="O31" i="30"/>
  <c r="O30" i="30"/>
  <c r="O29" i="30"/>
  <c r="O28" i="30"/>
  <c r="D19" i="28"/>
  <c r="D19" i="27"/>
  <c r="D18" i="26"/>
  <c r="D20" i="25"/>
  <c r="D19" i="24"/>
  <c r="D19" i="23"/>
  <c r="D18" i="20"/>
  <c r="D18" i="21"/>
  <c r="D15" i="22"/>
  <c r="D21" i="17"/>
  <c r="D20" i="19"/>
  <c r="D18" i="18"/>
  <c r="D21" i="15"/>
  <c r="D19" i="16"/>
  <c r="D20" i="14"/>
  <c r="D19" i="13"/>
  <c r="D17" i="12"/>
  <c r="D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0E496A-8373-451B-B710-A722C5A631B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71A6BC-0053-4343-AF09-BA34AC62A946}" name="WorksheetConnection_Virat_Kohli_IPL_2008.xlsx!Table3" type="102" refreshedVersion="7" minRefreshableVersion="5">
    <extLst>
      <ext xmlns:x15="http://schemas.microsoft.com/office/spreadsheetml/2010/11/main" uri="{DE250136-89BD-433C-8126-D09CA5730AF9}">
        <x15:connection id="Table3">
          <x15:rangePr sourceName="_xlcn.WorksheetConnection_Virat_Kohli_IPL_2008.xlsxTable3"/>
        </x15:connection>
      </ext>
    </extLst>
  </connection>
  <connection id="3" xr16:uid="{4C67DFBA-14FB-4805-B10E-6711967FA632}" name="WorksheetConnection_Virat_Kohli_IPL_2008.xlsx!Table4" type="102" refreshedVersion="7" minRefreshableVersion="5">
    <extLst>
      <ext xmlns:x15="http://schemas.microsoft.com/office/spreadsheetml/2010/11/main" uri="{DE250136-89BD-433C-8126-D09CA5730AF9}">
        <x15:connection id="Table4">
          <x15:rangePr sourceName="_xlcn.WorksheetConnection_Virat_Kohli_IPL_2008.xlsxTable4"/>
        </x15:connection>
      </ext>
    </extLst>
  </connection>
  <connection id="4" xr16:uid="{B6AAD498-4471-46B9-A11B-64A475D706EA}" name="WorksheetConnection_Virat_Kohli_IPL_2008.xlsx!Table5" type="102" refreshedVersion="7" minRefreshableVersion="5">
    <extLst>
      <ext xmlns:x15="http://schemas.microsoft.com/office/spreadsheetml/2010/11/main" uri="{DE250136-89BD-433C-8126-D09CA5730AF9}">
        <x15:connection id="Table5">
          <x15:rangePr sourceName="_xlcn.WorksheetConnection_Virat_Kohli_IPL_2008.xlsxTable5"/>
        </x15:connection>
      </ext>
    </extLst>
  </connection>
</connections>
</file>

<file path=xl/sharedStrings.xml><?xml version="1.0" encoding="utf-8"?>
<sst xmlns="http://schemas.openxmlformats.org/spreadsheetml/2006/main" count="1451" uniqueCount="91">
  <si>
    <t>Match No.</t>
  </si>
  <si>
    <t>Opponent</t>
  </si>
  <si>
    <t>Runs</t>
  </si>
  <si>
    <t>Balls</t>
  </si>
  <si>
    <t>4s</t>
  </si>
  <si>
    <t>6s</t>
  </si>
  <si>
    <t>SR</t>
  </si>
  <si>
    <t>Dot Balls</t>
  </si>
  <si>
    <t>50s</t>
  </si>
  <si>
    <t>100s</t>
  </si>
  <si>
    <t>Out/Not Out</t>
  </si>
  <si>
    <t>Batting Average</t>
  </si>
  <si>
    <t>KKR</t>
  </si>
  <si>
    <t>MI</t>
  </si>
  <si>
    <t>RR</t>
  </si>
  <si>
    <t>CSK</t>
  </si>
  <si>
    <t>DD</t>
  </si>
  <si>
    <t>DCH</t>
  </si>
  <si>
    <t>KXIP</t>
  </si>
  <si>
    <t>Not Out</t>
  </si>
  <si>
    <t>Out</t>
  </si>
  <si>
    <t>S NO.</t>
  </si>
  <si>
    <t>Sum of Runs</t>
  </si>
  <si>
    <t>Row Labels</t>
  </si>
  <si>
    <t>Grand Total</t>
  </si>
  <si>
    <t>Sum of Balls</t>
  </si>
  <si>
    <t>Sum of Dot Balls</t>
  </si>
  <si>
    <t>Average of Batting Average</t>
  </si>
  <si>
    <t>Average of SR</t>
  </si>
  <si>
    <t>Sum of 4s</t>
  </si>
  <si>
    <t>Sum of 6s</t>
  </si>
  <si>
    <t>Sum of 50s</t>
  </si>
  <si>
    <t>Sum of 100s</t>
  </si>
  <si>
    <t>out</t>
  </si>
  <si>
    <t>not out</t>
  </si>
  <si>
    <t>–</t>
  </si>
  <si>
    <t>Mi</t>
  </si>
  <si>
    <t>3rd</t>
  </si>
  <si>
    <t>8th</t>
  </si>
  <si>
    <t>11th</t>
  </si>
  <si>
    <t>14th</t>
  </si>
  <si>
    <t>24th</t>
  </si>
  <si>
    <t>30th</t>
  </si>
  <si>
    <t>35th</t>
  </si>
  <si>
    <t>47th</t>
  </si>
  <si>
    <t>50th</t>
  </si>
  <si>
    <t>55th</t>
  </si>
  <si>
    <t>58th</t>
  </si>
  <si>
    <t>63rd</t>
  </si>
  <si>
    <t>69th</t>
  </si>
  <si>
    <t>QF (1)</t>
  </si>
  <si>
    <t>QF (2)</t>
  </si>
  <si>
    <t>Final</t>
  </si>
  <si>
    <t>SRH</t>
  </si>
  <si>
    <t>S No.</t>
  </si>
  <si>
    <t>Batting Avg</t>
  </si>
  <si>
    <t>PWI</t>
  </si>
  <si>
    <t>SR (strike rate)</t>
  </si>
  <si>
    <t>LSG</t>
  </si>
  <si>
    <t>GT</t>
  </si>
  <si>
    <t>Batting AVG</t>
  </si>
  <si>
    <t>Year</t>
  </si>
  <si>
    <t>No of  Match</t>
  </si>
  <si>
    <t>KTK</t>
  </si>
  <si>
    <t xml:space="preserve">SR </t>
  </si>
  <si>
    <t>Out/NotOt</t>
  </si>
  <si>
    <t>RPSG</t>
  </si>
  <si>
    <t>GL</t>
  </si>
  <si>
    <t xml:space="preserve">KXIP </t>
  </si>
  <si>
    <t xml:space="preserve">Batting Average </t>
  </si>
  <si>
    <t xml:space="preserve">Match No. </t>
  </si>
  <si>
    <t>Count of No of  Match</t>
  </si>
  <si>
    <t>1.No of Innings Played</t>
  </si>
  <si>
    <t>No of Innings Played</t>
  </si>
  <si>
    <t>3.No of Run's Score Against Opponents</t>
  </si>
  <si>
    <t>2.No of Innings Played Against Opponents</t>
  </si>
  <si>
    <t>4.Total Runs Year wise</t>
  </si>
  <si>
    <t>5.No of  50's Each Year</t>
  </si>
  <si>
    <t>6.No of 100's Each Year</t>
  </si>
  <si>
    <t>7.No of Four Score Each Year</t>
  </si>
  <si>
    <t>8.No of Six Score Each Year</t>
  </si>
  <si>
    <t>9.No of Bowls &amp; Dot's Bowl Played Each Year</t>
  </si>
  <si>
    <t>Count of Out/Not Out</t>
  </si>
  <si>
    <t>10. No of Times Out &amp; Not Out Each Year</t>
  </si>
  <si>
    <t>11. Batting Strike Rate Year Wise</t>
  </si>
  <si>
    <t>Strike Rate</t>
  </si>
  <si>
    <t xml:space="preserve">Strike Rate </t>
  </si>
  <si>
    <t>12.Batting AVG Each Year</t>
  </si>
  <si>
    <t>Avg</t>
  </si>
  <si>
    <t>Average of Strike Rate</t>
  </si>
  <si>
    <t>Average of Batting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</si>
</sst>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8">
    <xf numFmtId="0" fontId="0" fillId="0" borderId="0" xfId="0"/>
    <xf numFmtId="0" fontId="0" fillId="0" borderId="1" xfId="0" applyBorder="1" applyAlignment="1">
      <alignment horizontal="center" vertical="center"/>
    </xf>
    <xf numFmtId="0" fontId="2"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center"/>
    </xf>
    <xf numFmtId="0" fontId="1" fillId="2" borderId="1" xfId="0" applyFont="1" applyFill="1" applyBorder="1" applyAlignment="1">
      <alignment horizontal="left" vertical="center" wrapText="1"/>
    </xf>
    <xf numFmtId="0" fontId="0" fillId="0" borderId="1" xfId="0" pivotButton="1" applyBorder="1" applyAlignment="1">
      <alignment horizontal="center" vertical="center"/>
    </xf>
    <xf numFmtId="0" fontId="0" fillId="0" borderId="1" xfId="0" applyBorder="1" applyAlignment="1">
      <alignment horizontal="center" vertical="center" inden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2" fontId="0" fillId="0" borderId="0" xfId="0" applyNumberFormat="1"/>
    <xf numFmtId="2" fontId="0" fillId="0" borderId="0" xfId="0" applyNumberForma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horizont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2" fontId="0" fillId="0" borderId="3" xfId="0" applyNumberFormat="1" applyBorder="1" applyAlignment="1">
      <alignment horizontal="center" vertical="center"/>
    </xf>
    <xf numFmtId="0" fontId="1" fillId="3" borderId="4"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2" fontId="1" fillId="3" borderId="9" xfId="0" applyNumberFormat="1" applyFont="1" applyFill="1" applyBorder="1" applyAlignment="1">
      <alignment horizontal="center" vertical="center"/>
    </xf>
    <xf numFmtId="0" fontId="0" fillId="4" borderId="0" xfId="0" applyFill="1"/>
  </cellXfs>
  <cellStyles count="1">
    <cellStyle name="Normal" xfId="0" builtinId="0"/>
  </cellStyles>
  <dxfs count="122">
    <dxf>
      <numFmt numFmtId="2"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2" formatCode="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owerPivotData" Target="model/item.data"/><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worksheet" Target="worksheets/sheet20.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2.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[Virat_Kohli_IPL_2008.xlsx]runs!PivotTable2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runs!$B$3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runs!$A$4:$A$16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runs!$B$4:$B$16</c:f>
              <c:numCache>
                <c:formatCode>General</c:formatCode>
                <c:ptCount val="12"/>
                <c:pt idx="0">
                  <c:v>1</c:v>
                </c:pt>
                <c:pt idx="1">
                  <c:v>23</c:v>
                </c:pt>
                <c:pt idx="2">
                  <c:v>13</c:v>
                </c:pt>
                <c:pt idx="3">
                  <c:v>12</c:v>
                </c:pt>
                <c:pt idx="4">
                  <c:v>1</c:v>
                </c:pt>
                <c:pt idx="5">
                  <c:v>38</c:v>
                </c:pt>
                <c:pt idx="6">
                  <c:v>34</c:v>
                </c:pt>
                <c:pt idx="7">
                  <c:v>21</c:v>
                </c:pt>
                <c:pt idx="8">
                  <c:v>3</c:v>
                </c:pt>
                <c:pt idx="9">
                  <c:v>10</c:v>
                </c:pt>
                <c:pt idx="10">
                  <c:v>9</c:v>
                </c:pt>
                <c:pt idx="11">
                  <c:v>0</c:v>
                </c:pt>
              </c:numCache>
            </c:numRef>
          </c:val>
          <c:smooth val="0"/>
          <c:extLst>
            <c:ext xmlns:c16="http://schemas.microsoft.com/office/drawing/2014/chart" uri="{C3380CC4-5D6E-409C-BE32-E72D297353CC}">
              <c16:uniqueId val="{00000000-2F96-47DD-AC4D-03288DE760C4}"/>
            </c:ext>
          </c:extLst>
        </c:ser>
        <c:dLbls>
          <c:dLblPos val="t"/>
          <c:showLegendKey val="0"/>
          <c:showVal val="1"/>
          <c:showCatName val="0"/>
          <c:showSerName val="0"/>
          <c:showPercent val="0"/>
          <c:showBubbleSize val="0"/>
        </c:dLbls>
        <c:smooth val="0"/>
        <c:axId val="21486336"/>
        <c:axId val="21486752"/>
      </c:lineChart>
      <c:catAx>
        <c:axId val="214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86752"/>
        <c:crosses val="autoZero"/>
        <c:auto val="1"/>
        <c:lblAlgn val="ctr"/>
        <c:lblOffset val="100"/>
        <c:noMultiLvlLbl val="0"/>
      </c:catAx>
      <c:valAx>
        <c:axId val="2148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8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[Virat_Kohli_IPL_2008.xlsx]runs&amp;ball!PivotTable3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'runs&amp;ball'!$B$3</c:f>
              <c:strCache>
                <c:ptCount val="1"/>
                <c:pt idx="0">
                  <c:v>Sum of Runs</c:v>
                </c:pt>
              </c:strCache>
            </c:strRef>
          </c:tx>
          <c:spPr>
            <a:solidFill>
              <a:schemeClr val="accent1"/>
            </a:solidFill>
            <a:ln>
              <a:noFill/>
            </a:ln>
            <a:effectLst/>
          </c:spPr>
          <c:invertIfNegative val="0"/>
          <c:cat>
            <c:strRef>
              <c:f>'runs&amp;ball'!$A$4:$A$16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'runs&amp;ball'!$B$4:$B$16</c:f>
              <c:numCache>
                <c:formatCode>General</c:formatCode>
                <c:ptCount val="12"/>
                <c:pt idx="0">
                  <c:v>1</c:v>
                </c:pt>
                <c:pt idx="1">
                  <c:v>23</c:v>
                </c:pt>
                <c:pt idx="2">
                  <c:v>13</c:v>
                </c:pt>
                <c:pt idx="3">
                  <c:v>12</c:v>
                </c:pt>
                <c:pt idx="4">
                  <c:v>1</c:v>
                </c:pt>
                <c:pt idx="5">
                  <c:v>38</c:v>
                </c:pt>
                <c:pt idx="6">
                  <c:v>34</c:v>
                </c:pt>
                <c:pt idx="7">
                  <c:v>21</c:v>
                </c:pt>
                <c:pt idx="8">
                  <c:v>3</c:v>
                </c:pt>
                <c:pt idx="9">
                  <c:v>10</c:v>
                </c:pt>
                <c:pt idx="10">
                  <c:v>9</c:v>
                </c:pt>
                <c:pt idx="11">
                  <c:v>0</c:v>
                </c:pt>
              </c:numCache>
            </c:numRef>
          </c:val>
          <c:extLst>
            <c:ext xmlns:c16="http://schemas.microsoft.com/office/drawing/2014/chart" uri="{C3380CC4-5D6E-409C-BE32-E72D297353CC}">
              <c16:uniqueId val="{00000000-AB5C-4EE1-A619-9E007D0112F4}"/>
            </c:ext>
          </c:extLst>
        </c:ser>
        <c:ser>
          <c:idx val="1"/>
          <c:order val="1"/>
          <c:tx>
            <c:strRef>
              <c:f>'runs&amp;ball'!$C$3</c:f>
              <c:strCache>
                <c:ptCount val="1"/>
                <c:pt idx="0">
                  <c:v>Sum of Balls</c:v>
                </c:pt>
              </c:strCache>
            </c:strRef>
          </c:tx>
          <c:spPr>
            <a:solidFill>
              <a:schemeClr val="accent2"/>
            </a:solidFill>
            <a:ln>
              <a:noFill/>
            </a:ln>
            <a:effectLst/>
          </c:spPr>
          <c:invertIfNegative val="0"/>
          <c:cat>
            <c:strRef>
              <c:f>'runs&amp;ball'!$A$4:$A$16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'runs&amp;ball'!$C$4:$C$16</c:f>
              <c:numCache>
                <c:formatCode>General</c:formatCode>
                <c:ptCount val="12"/>
                <c:pt idx="0">
                  <c:v>5</c:v>
                </c:pt>
                <c:pt idx="1">
                  <c:v>14</c:v>
                </c:pt>
                <c:pt idx="2">
                  <c:v>14</c:v>
                </c:pt>
                <c:pt idx="3">
                  <c:v>7</c:v>
                </c:pt>
                <c:pt idx="4">
                  <c:v>1</c:v>
                </c:pt>
                <c:pt idx="5">
                  <c:v>29</c:v>
                </c:pt>
                <c:pt idx="6">
                  <c:v>36</c:v>
                </c:pt>
                <c:pt idx="7">
                  <c:v>22</c:v>
                </c:pt>
                <c:pt idx="8">
                  <c:v>7</c:v>
                </c:pt>
                <c:pt idx="9">
                  <c:v>16</c:v>
                </c:pt>
                <c:pt idx="10">
                  <c:v>5</c:v>
                </c:pt>
                <c:pt idx="11">
                  <c:v>1</c:v>
                </c:pt>
              </c:numCache>
            </c:numRef>
          </c:val>
          <c:extLst>
            <c:ext xmlns:c16="http://schemas.microsoft.com/office/drawing/2014/chart" uri="{C3380CC4-5D6E-409C-BE32-E72D297353CC}">
              <c16:uniqueId val="{00000001-AB5C-4EE1-A619-9E007D0112F4}"/>
            </c:ext>
          </c:extLst>
        </c:ser>
        <c:dLbls>
          <c:showLegendKey val="0"/>
          <c:showVal val="0"/>
          <c:showCatName val="0"/>
          <c:showSerName val="0"/>
          <c:showPercent val="0"/>
          <c:showBubbleSize val="0"/>
        </c:dLbls>
        <c:gapWidth val="219"/>
        <c:overlap val="-27"/>
        <c:axId val="2032005440"/>
        <c:axId val="2032011680"/>
      </c:barChart>
      <c:catAx>
        <c:axId val="20320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11680"/>
        <c:crosses val="autoZero"/>
        <c:auto val="1"/>
        <c:lblAlgn val="ctr"/>
        <c:lblOffset val="100"/>
        <c:noMultiLvlLbl val="0"/>
      </c:catAx>
      <c:valAx>
        <c:axId val="203201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0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[Virat_Kohli_IPL_2008.xlsx]dotball!PivotTable4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dotball!$B$3</c:f>
              <c:strCache>
                <c:ptCount val="1"/>
                <c:pt idx="0">
                  <c:v>Total</c:v>
                </c:pt>
              </c:strCache>
            </c:strRef>
          </c:tx>
          <c:spPr>
            <a:ln w="28575" cap="rnd">
              <a:solidFill>
                <a:schemeClr val="accent1"/>
              </a:solidFill>
              <a:round/>
            </a:ln>
            <a:effectLst/>
          </c:spPr>
          <c:marker>
            <c:symbol val="none"/>
          </c:marker>
          <c:cat>
            <c:strRef>
              <c:f>dotball!$A$4:$A$16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dotball!$B$4:$B$16</c:f>
              <c:numCache>
                <c:formatCode>General</c:formatCode>
                <c:ptCount val="12"/>
                <c:pt idx="0">
                  <c:v>4</c:v>
                </c:pt>
                <c:pt idx="1">
                  <c:v>10</c:v>
                </c:pt>
                <c:pt idx="2">
                  <c:v>13</c:v>
                </c:pt>
                <c:pt idx="3">
                  <c:v>5</c:v>
                </c:pt>
                <c:pt idx="4">
                  <c:v>0</c:v>
                </c:pt>
                <c:pt idx="5">
                  <c:v>26</c:v>
                </c:pt>
                <c:pt idx="6">
                  <c:v>31</c:v>
                </c:pt>
                <c:pt idx="7">
                  <c:v>18</c:v>
                </c:pt>
                <c:pt idx="8">
                  <c:v>7</c:v>
                </c:pt>
                <c:pt idx="9">
                  <c:v>15</c:v>
                </c:pt>
                <c:pt idx="10">
                  <c:v>3</c:v>
                </c:pt>
                <c:pt idx="11">
                  <c:v>1</c:v>
                </c:pt>
              </c:numCache>
            </c:numRef>
          </c:val>
          <c:smooth val="0"/>
          <c:extLst>
            <c:ext xmlns:c16="http://schemas.microsoft.com/office/drawing/2014/chart" uri="{C3380CC4-5D6E-409C-BE32-E72D297353CC}">
              <c16:uniqueId val="{00000000-C9C5-4467-93D4-C1FD01D0A988}"/>
            </c:ext>
          </c:extLst>
        </c:ser>
        <c:dLbls>
          <c:showLegendKey val="0"/>
          <c:showVal val="0"/>
          <c:showCatName val="0"/>
          <c:showSerName val="0"/>
          <c:showPercent val="0"/>
          <c:showBubbleSize val="0"/>
        </c:dLbls>
        <c:smooth val="0"/>
        <c:axId val="34584720"/>
        <c:axId val="34583888"/>
      </c:lineChart>
      <c:catAx>
        <c:axId val="345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83888"/>
        <c:crosses val="autoZero"/>
        <c:auto val="1"/>
        <c:lblAlgn val="ctr"/>
        <c:lblOffset val="100"/>
        <c:noMultiLvlLbl val="0"/>
      </c:catAx>
      <c:valAx>
        <c:axId val="3458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[Virat_Kohli_IPL_2008.xlsx]innings&amp;runsagainstOpenenets!PivotTable5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'innings&amp;runsagainstOpenenets'!$B$3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99-495B-AA0A-758146CDD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99-495B-AA0A-758146CDD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99-495B-AA0A-758146CDD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A99-495B-AA0A-758146CDD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A99-495B-AA0A-758146CDD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A99-495B-AA0A-758146CDD41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A99-495B-AA0A-758146CDD4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'innings&amp;runsagainstOpenenets'!$A$4:$A$11</c:f>
              <c:strCache>
                <c:ptCount val="7"/>
                <c:pt idx="0">
                  <c:v>CSK</c:v>
                </c:pt>
                <c:pt idx="1">
                  <c:v>DCH</c:v>
                </c:pt>
                <c:pt idx="2">
                  <c:v>DD</c:v>
                </c:pt>
                <c:pt idx="3">
                  <c:v>KKR</c:v>
                </c:pt>
                <c:pt idx="4">
                  <c:v>KXIP</c:v>
                </c:pt>
                <c:pt idx="5">
                  <c:v>MI</c:v>
                </c:pt>
                <c:pt idx="6">
                  <c:v>RR</c:v>
                </c:pt>
              </c:strCache>
            </c:strRef>
          </c:cat>
          <c:val>
            <c:numRef>
              <c:f>'innings&amp;runsagainstOpenenets'!$B$4:$B$11</c:f>
              <c:numCache>
                <c:formatCode>General</c:formatCode>
                <c:ptCount val="7"/>
                <c:pt idx="0">
                  <c:v>22</c:v>
                </c:pt>
                <c:pt idx="1">
                  <c:v>47</c:v>
                </c:pt>
                <c:pt idx="2">
                  <c:v>1</c:v>
                </c:pt>
                <c:pt idx="3">
                  <c:v>1</c:v>
                </c:pt>
                <c:pt idx="4">
                  <c:v>55</c:v>
                </c:pt>
                <c:pt idx="5">
                  <c:v>23</c:v>
                </c:pt>
                <c:pt idx="6">
                  <c:v>16</c:v>
                </c:pt>
              </c:numCache>
            </c:numRef>
          </c:val>
          <c:extLst>
            <c:ext xmlns:c16="http://schemas.microsoft.com/office/drawing/2014/chart" uri="{C3380CC4-5D6E-409C-BE32-E72D297353CC}">
              <c16:uniqueId val="{00000000-E5A3-4A99-9061-A1C425D050E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[Virat_Kohli_IPL_2008.xlsx]battingAvg!PivotTable16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battingAvg!$B$3</c:f>
              <c:strCache>
                <c:ptCount val="1"/>
                <c:pt idx="0">
                  <c:v>Total</c:v>
                </c:pt>
              </c:strCache>
            </c:strRef>
          </c:tx>
          <c:spPr>
            <a:ln w="28575" cap="rnd">
              <a:solidFill>
                <a:schemeClr val="accent1"/>
              </a:solidFill>
              <a:round/>
            </a:ln>
            <a:effectLst/>
          </c:spPr>
          <c:marker>
            <c:symbol val="none"/>
          </c:marker>
          <c:cat>
            <c:strRef>
              <c:f>battingAvg!$A$4:$A$16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battingAvg!$B$4:$B$16</c:f>
              <c:numCache>
                <c:formatCode>General</c:formatCode>
                <c:ptCount val="12"/>
                <c:pt idx="0">
                  <c:v>1</c:v>
                </c:pt>
                <c:pt idx="1">
                  <c:v>12</c:v>
                </c:pt>
                <c:pt idx="2">
                  <c:v>12.33</c:v>
                </c:pt>
                <c:pt idx="3">
                  <c:v>12.25</c:v>
                </c:pt>
                <c:pt idx="4">
                  <c:v>12.4</c:v>
                </c:pt>
                <c:pt idx="5">
                  <c:v>14.33</c:v>
                </c:pt>
                <c:pt idx="6">
                  <c:v>13.33</c:v>
                </c:pt>
                <c:pt idx="7">
                  <c:v>12.5</c:v>
                </c:pt>
                <c:pt idx="8">
                  <c:v>11.75</c:v>
                </c:pt>
                <c:pt idx="9">
                  <c:v>11.64</c:v>
                </c:pt>
                <c:pt idx="10">
                  <c:v>11.8</c:v>
                </c:pt>
                <c:pt idx="11">
                  <c:v>11.64</c:v>
                </c:pt>
              </c:numCache>
            </c:numRef>
          </c:val>
          <c:smooth val="0"/>
          <c:extLst>
            <c:ext xmlns:c16="http://schemas.microsoft.com/office/drawing/2014/chart" uri="{C3380CC4-5D6E-409C-BE32-E72D297353CC}">
              <c16:uniqueId val="{00000000-29A5-4844-9E5C-03B7D3174314}"/>
            </c:ext>
          </c:extLst>
        </c:ser>
        <c:dLbls>
          <c:showLegendKey val="0"/>
          <c:showVal val="0"/>
          <c:showCatName val="0"/>
          <c:showSerName val="0"/>
          <c:showPercent val="0"/>
          <c:showBubbleSize val="0"/>
        </c:dLbls>
        <c:smooth val="0"/>
        <c:axId val="115526592"/>
        <c:axId val="115527424"/>
      </c:lineChart>
      <c:catAx>
        <c:axId val="1155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7424"/>
        <c:crosses val="autoZero"/>
        <c:auto val="1"/>
        <c:lblAlgn val="ctr"/>
        <c:lblOffset val="100"/>
        <c:noMultiLvlLbl val="0"/>
      </c:catAx>
      <c:valAx>
        <c:axId val="11552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[Virat_Kohli_IPL_2008.xlsx]StrikeRate!PivotTable17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StrikeRate!$B$3</c:f>
              <c:strCache>
                <c:ptCount val="1"/>
                <c:pt idx="0">
                  <c:v>Sum of Runs</c:v>
                </c:pt>
              </c:strCache>
            </c:strRef>
          </c:tx>
          <c:spPr>
            <a:solidFill>
              <a:schemeClr val="accent1"/>
            </a:solidFill>
            <a:ln>
              <a:noFill/>
            </a:ln>
            <a:effectLst/>
          </c:spPr>
          <c:invertIfNegative val="0"/>
          <c:cat>
            <c:strRef>
              <c:f>StrikeRate!$A$4:$A$16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StrikeRate!$B$4:$B$16</c:f>
              <c:numCache>
                <c:formatCode>General</c:formatCode>
                <c:ptCount val="12"/>
                <c:pt idx="0">
                  <c:v>1</c:v>
                </c:pt>
                <c:pt idx="1">
                  <c:v>23</c:v>
                </c:pt>
                <c:pt idx="2">
                  <c:v>13</c:v>
                </c:pt>
                <c:pt idx="3">
                  <c:v>12</c:v>
                </c:pt>
                <c:pt idx="4">
                  <c:v>1</c:v>
                </c:pt>
                <c:pt idx="5">
                  <c:v>38</c:v>
                </c:pt>
                <c:pt idx="6">
                  <c:v>34</c:v>
                </c:pt>
                <c:pt idx="7">
                  <c:v>21</c:v>
                </c:pt>
                <c:pt idx="8">
                  <c:v>3</c:v>
                </c:pt>
                <c:pt idx="9">
                  <c:v>10</c:v>
                </c:pt>
                <c:pt idx="10">
                  <c:v>9</c:v>
                </c:pt>
                <c:pt idx="11">
                  <c:v>0</c:v>
                </c:pt>
              </c:numCache>
            </c:numRef>
          </c:val>
          <c:extLst>
            <c:ext xmlns:c16="http://schemas.microsoft.com/office/drawing/2014/chart" uri="{C3380CC4-5D6E-409C-BE32-E72D297353CC}">
              <c16:uniqueId val="{00000000-A819-4B44-94A0-5E73B30EBA83}"/>
            </c:ext>
          </c:extLst>
        </c:ser>
        <c:ser>
          <c:idx val="1"/>
          <c:order val="1"/>
          <c:tx>
            <c:strRef>
              <c:f>StrikeRate!$C$3</c:f>
              <c:strCache>
                <c:ptCount val="1"/>
                <c:pt idx="0">
                  <c:v>Sum of Balls</c:v>
                </c:pt>
              </c:strCache>
            </c:strRef>
          </c:tx>
          <c:spPr>
            <a:solidFill>
              <a:schemeClr val="accent2"/>
            </a:solidFill>
            <a:ln>
              <a:noFill/>
            </a:ln>
            <a:effectLst/>
          </c:spPr>
          <c:invertIfNegative val="0"/>
          <c:cat>
            <c:strRef>
              <c:f>StrikeRate!$A$4:$A$16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StrikeRate!$C$4:$C$16</c:f>
              <c:numCache>
                <c:formatCode>General</c:formatCode>
                <c:ptCount val="12"/>
                <c:pt idx="0">
                  <c:v>5</c:v>
                </c:pt>
                <c:pt idx="1">
                  <c:v>14</c:v>
                </c:pt>
                <c:pt idx="2">
                  <c:v>14</c:v>
                </c:pt>
                <c:pt idx="3">
                  <c:v>7</c:v>
                </c:pt>
                <c:pt idx="4">
                  <c:v>1</c:v>
                </c:pt>
                <c:pt idx="5">
                  <c:v>29</c:v>
                </c:pt>
                <c:pt idx="6">
                  <c:v>36</c:v>
                </c:pt>
                <c:pt idx="7">
                  <c:v>22</c:v>
                </c:pt>
                <c:pt idx="8">
                  <c:v>7</c:v>
                </c:pt>
                <c:pt idx="9">
                  <c:v>16</c:v>
                </c:pt>
                <c:pt idx="10">
                  <c:v>5</c:v>
                </c:pt>
                <c:pt idx="11">
                  <c:v>1</c:v>
                </c:pt>
              </c:numCache>
            </c:numRef>
          </c:val>
          <c:extLst>
            <c:ext xmlns:c16="http://schemas.microsoft.com/office/drawing/2014/chart" uri="{C3380CC4-5D6E-409C-BE32-E72D297353CC}">
              <c16:uniqueId val="{00000001-A819-4B44-94A0-5E73B30EBA83}"/>
            </c:ext>
          </c:extLst>
        </c:ser>
        <c:dLbls>
          <c:showLegendKey val="0"/>
          <c:showVal val="0"/>
          <c:showCatName val="0"/>
          <c:showSerName val="0"/>
          <c:showPercent val="0"/>
          <c:showBubbleSize val="0"/>
        </c:dLbls>
        <c:gapWidth val="219"/>
        <c:overlap val="-27"/>
        <c:axId val="123111200"/>
        <c:axId val="123111616"/>
      </c:barChart>
      <c:lineChart>
        <c:grouping val="standard"/>
        <c:varyColors val="0"/>
        <c:ser>
          <c:idx val="2"/>
          <c:order val="2"/>
          <c:tx>
            <c:strRef>
              <c:f>StrikeRate!$D$3</c:f>
              <c:strCache>
                <c:ptCount val="1"/>
                <c:pt idx="0">
                  <c:v>Average of SR</c:v>
                </c:pt>
              </c:strCache>
            </c:strRef>
          </c:tx>
          <c:spPr>
            <a:ln w="28575" cap="rnd">
              <a:solidFill>
                <a:schemeClr val="accent3"/>
              </a:solidFill>
              <a:round/>
            </a:ln>
            <a:effectLst/>
          </c:spPr>
          <c:marker>
            <c:symbol val="none"/>
          </c:marker>
          <c:cat>
            <c:strRef>
              <c:f>StrikeRate!$A$4:$A$16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StrikeRate!$D$4:$D$16</c:f>
              <c:numCache>
                <c:formatCode>General</c:formatCode>
                <c:ptCount val="12"/>
                <c:pt idx="0">
                  <c:v>20</c:v>
                </c:pt>
                <c:pt idx="1">
                  <c:v>164.29</c:v>
                </c:pt>
                <c:pt idx="2">
                  <c:v>92.86</c:v>
                </c:pt>
                <c:pt idx="3">
                  <c:v>171.43</c:v>
                </c:pt>
                <c:pt idx="4">
                  <c:v>100</c:v>
                </c:pt>
                <c:pt idx="5">
                  <c:v>131.03</c:v>
                </c:pt>
                <c:pt idx="6">
                  <c:v>94.44</c:v>
                </c:pt>
                <c:pt idx="7">
                  <c:v>95.45</c:v>
                </c:pt>
                <c:pt idx="8">
                  <c:v>42.86</c:v>
                </c:pt>
                <c:pt idx="9">
                  <c:v>62.5</c:v>
                </c:pt>
                <c:pt idx="10">
                  <c:v>180</c:v>
                </c:pt>
                <c:pt idx="11">
                  <c:v>0</c:v>
                </c:pt>
              </c:numCache>
            </c:numRef>
          </c:val>
          <c:smooth val="0"/>
          <c:extLst>
            <c:ext xmlns:c16="http://schemas.microsoft.com/office/drawing/2014/chart" uri="{C3380CC4-5D6E-409C-BE32-E72D297353CC}">
              <c16:uniqueId val="{00000002-A819-4B44-94A0-5E73B30EBA83}"/>
            </c:ext>
          </c:extLst>
        </c:ser>
        <c:dLbls>
          <c:showLegendKey val="0"/>
          <c:showVal val="0"/>
          <c:showCatName val="0"/>
          <c:showSerName val="0"/>
          <c:showPercent val="0"/>
          <c:showBubbleSize val="0"/>
        </c:dLbls>
        <c:marker val="1"/>
        <c:smooth val="0"/>
        <c:axId val="123111200"/>
        <c:axId val="123111616"/>
      </c:lineChart>
      <c:catAx>
        <c:axId val="12311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1616"/>
        <c:crosses val="autoZero"/>
        <c:auto val="1"/>
        <c:lblAlgn val="ctr"/>
        <c:lblOffset val="100"/>
        <c:noMultiLvlLbl val="0"/>
      </c:catAx>
      <c:valAx>
        <c:axId val="12311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[Virat_Kohli_IPL_2008.xlsx]half&amp;century!PivotTable21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'half&amp;century'!$B$3</c:f>
              <c:strCache>
                <c:ptCount val="1"/>
                <c:pt idx="0">
                  <c:v>Sum of 50s</c:v>
                </c:pt>
              </c:strCache>
            </c:strRef>
          </c:tx>
          <c:spPr>
            <a:solidFill>
              <a:schemeClr val="accent1"/>
            </a:solidFill>
            <a:ln>
              <a:noFill/>
            </a:ln>
            <a:effectLst/>
          </c:spPr>
          <c:invertIfNegative val="0"/>
          <c:cat>
            <c:strRef>
              <c:f>'half&amp;century'!$A$4:$A$16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'half&amp;century'!$B$4:$B$16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48A-4CD7-BDF3-A8999727D27D}"/>
            </c:ext>
          </c:extLst>
        </c:ser>
        <c:ser>
          <c:idx val="1"/>
          <c:order val="1"/>
          <c:tx>
            <c:strRef>
              <c:f>'half&amp;century'!$C$3</c:f>
              <c:strCache>
                <c:ptCount val="1"/>
                <c:pt idx="0">
                  <c:v>Sum of 100s</c:v>
                </c:pt>
              </c:strCache>
            </c:strRef>
          </c:tx>
          <c:spPr>
            <a:solidFill>
              <a:schemeClr val="accent2"/>
            </a:solidFill>
            <a:ln>
              <a:noFill/>
            </a:ln>
            <a:effectLst/>
          </c:spPr>
          <c:invertIfNegative val="0"/>
          <c:cat>
            <c:strRef>
              <c:f>'half&amp;century'!$A$4:$A$16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'half&amp;century'!$C$4:$C$16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48A-4CD7-BDF3-A8999727D27D}"/>
            </c:ext>
          </c:extLst>
        </c:ser>
        <c:dLbls>
          <c:showLegendKey val="0"/>
          <c:showVal val="0"/>
          <c:showCatName val="0"/>
          <c:showSerName val="0"/>
          <c:showPercent val="0"/>
          <c:showBubbleSize val="0"/>
        </c:dLbls>
        <c:gapWidth val="182"/>
        <c:axId val="126850480"/>
        <c:axId val="126846736"/>
      </c:barChart>
      <c:catAx>
        <c:axId val="12685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736"/>
        <c:crosses val="autoZero"/>
        <c:auto val="1"/>
        <c:lblAlgn val="ctr"/>
        <c:lblOffset val="100"/>
        <c:noMultiLvlLbl val="0"/>
      </c:catAx>
      <c:valAx>
        <c:axId val="12684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[Virat_Kohli_IPL_2008.xlsx]Four&amp;Six!PivotTable18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'Four&amp;Six'!$B$3</c:f>
              <c:strCache>
                <c:ptCount val="1"/>
                <c:pt idx="0">
                  <c:v>Sum of 4s</c:v>
                </c:pt>
              </c:strCache>
            </c:strRef>
          </c:tx>
          <c:spPr>
            <a:ln w="28575" cap="rnd">
              <a:solidFill>
                <a:schemeClr val="accent1"/>
              </a:solidFill>
              <a:round/>
            </a:ln>
            <a:effectLst/>
          </c:spPr>
          <c:marker>
            <c:symbol val="none"/>
          </c:marker>
          <c:cat>
            <c:strRef>
              <c:f>'Four&amp;Six'!$A$4:$A$16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'Four&amp;Six'!$B$4:$B$16</c:f>
              <c:numCache>
                <c:formatCode>General</c:formatCode>
                <c:ptCount val="12"/>
                <c:pt idx="0">
                  <c:v>0</c:v>
                </c:pt>
                <c:pt idx="1">
                  <c:v>3</c:v>
                </c:pt>
                <c:pt idx="2">
                  <c:v>0</c:v>
                </c:pt>
                <c:pt idx="3">
                  <c:v>2</c:v>
                </c:pt>
                <c:pt idx="4">
                  <c:v>0</c:v>
                </c:pt>
                <c:pt idx="5">
                  <c:v>1</c:v>
                </c:pt>
                <c:pt idx="6">
                  <c:v>5</c:v>
                </c:pt>
                <c:pt idx="7">
                  <c:v>4</c:v>
                </c:pt>
                <c:pt idx="8">
                  <c:v>0</c:v>
                </c:pt>
                <c:pt idx="9">
                  <c:v>1</c:v>
                </c:pt>
                <c:pt idx="10">
                  <c:v>2</c:v>
                </c:pt>
                <c:pt idx="11">
                  <c:v>0</c:v>
                </c:pt>
              </c:numCache>
            </c:numRef>
          </c:val>
          <c:smooth val="0"/>
          <c:extLst>
            <c:ext xmlns:c16="http://schemas.microsoft.com/office/drawing/2014/chart" uri="{C3380CC4-5D6E-409C-BE32-E72D297353CC}">
              <c16:uniqueId val="{00000000-818C-499D-8026-97D7C04BE8FC}"/>
            </c:ext>
          </c:extLst>
        </c:ser>
        <c:ser>
          <c:idx val="1"/>
          <c:order val="1"/>
          <c:tx>
            <c:strRef>
              <c:f>'Four&amp;Six'!$C$3</c:f>
              <c:strCache>
                <c:ptCount val="1"/>
                <c:pt idx="0">
                  <c:v>Sum of 6s</c:v>
                </c:pt>
              </c:strCache>
            </c:strRef>
          </c:tx>
          <c:spPr>
            <a:ln w="28575" cap="rnd">
              <a:solidFill>
                <a:schemeClr val="accent2"/>
              </a:solidFill>
              <a:round/>
            </a:ln>
            <a:effectLst/>
          </c:spPr>
          <c:marker>
            <c:symbol val="none"/>
          </c:marker>
          <c:cat>
            <c:strRef>
              <c:f>'Four&amp;Six'!$A$4:$A$16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'Four&amp;Six'!$C$4:$C$16</c:f>
              <c:numCache>
                <c:formatCode>General</c:formatCode>
                <c:ptCount val="12"/>
                <c:pt idx="0">
                  <c:v>0</c:v>
                </c:pt>
                <c:pt idx="1">
                  <c:v>1</c:v>
                </c:pt>
                <c:pt idx="2">
                  <c:v>1</c:v>
                </c:pt>
                <c:pt idx="3">
                  <c:v>0</c:v>
                </c:pt>
                <c:pt idx="4">
                  <c:v>0</c:v>
                </c:pt>
                <c:pt idx="5">
                  <c:v>2</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18C-499D-8026-97D7C04BE8FC}"/>
            </c:ext>
          </c:extLst>
        </c:ser>
        <c:dLbls>
          <c:showLegendKey val="0"/>
          <c:showVal val="0"/>
          <c:showCatName val="0"/>
          <c:showSerName val="0"/>
          <c:showPercent val="0"/>
          <c:showBubbleSize val="0"/>
        </c:dLbls>
        <c:smooth val="0"/>
        <c:axId val="115003728"/>
        <c:axId val="115004560"/>
      </c:lineChart>
      <c:catAx>
        <c:axId val="11500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4560"/>
        <c:crosses val="autoZero"/>
        <c:auto val="1"/>
        <c:lblAlgn val="ctr"/>
        <c:lblOffset val="100"/>
        <c:noMultiLvlLbl val="0"/>
      </c:catAx>
      <c:valAx>
        <c:axId val="11500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No</a:t>
            </a:r>
            <a:r>
              <a:rPr lang="en-US" sz="1050" baseline="0"/>
              <a:t> of Innings Played</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'KPI''S'!$B$3</c:f>
              <c:strCache>
                <c:ptCount val="1"/>
                <c:pt idx="0">
                  <c:v>Total</c:v>
                </c:pt>
              </c:strCache>
            </c:strRef>
          </c:tx>
          <c:spPr>
            <a:solidFill>
              <a:schemeClr val="accent1"/>
            </a:solidFill>
            <a:ln>
              <a:noFill/>
            </a:ln>
            <a:effectLst/>
          </c:spPr>
          <c:invertIfNegative val="0"/>
          <c:cat>
            <c:strRef>
              <c:f>'KPI''S'!$A$4:$A$5</c:f>
              <c:strCache>
                <c:ptCount val="1"/>
                <c:pt idx="0">
                  <c:v>2016</c:v>
                </c:pt>
              </c:strCache>
            </c:strRef>
          </c:cat>
          <c:val>
            <c:numRef>
              <c:f>'KPI''S'!$B$4:$B$5</c:f>
              <c:numCache>
                <c:formatCode>General</c:formatCode>
                <c:ptCount val="1"/>
                <c:pt idx="0">
                  <c:v>16</c:v>
                </c:pt>
              </c:numCache>
            </c:numRef>
          </c:val>
          <c:extLst>
            <c:ext xmlns:c16="http://schemas.microsoft.com/office/drawing/2014/chart" uri="{C3380CC4-5D6E-409C-BE32-E72D297353CC}">
              <c16:uniqueId val="{00000000-5205-49ED-8837-3962E8748C0E}"/>
            </c:ext>
          </c:extLst>
        </c:ser>
        <c:dLbls>
          <c:showLegendKey val="0"/>
          <c:showVal val="0"/>
          <c:showCatName val="0"/>
          <c:showSerName val="0"/>
          <c:showPercent val="0"/>
          <c:showBubbleSize val="0"/>
        </c:dLbls>
        <c:gapWidth val="219"/>
        <c:overlap val="-27"/>
        <c:axId val="112276319"/>
        <c:axId val="112275071"/>
      </c:barChart>
      <c:catAx>
        <c:axId val="11227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5071"/>
        <c:crosses val="autoZero"/>
        <c:auto val="1"/>
        <c:lblAlgn val="ctr"/>
        <c:lblOffset val="100"/>
        <c:noMultiLvlLbl val="0"/>
      </c:catAx>
      <c:valAx>
        <c:axId val="11227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No.</a:t>
            </a:r>
            <a:r>
              <a:rPr lang="en-US" sz="1050" baseline="0"/>
              <a:t> of matches against opponents</a:t>
            </a:r>
            <a:endParaRPr lang="en-US" sz="1050"/>
          </a:p>
        </c:rich>
      </c:tx>
      <c:layout>
        <c:manualLayout>
          <c:xMode val="edge"/>
          <c:yMode val="edge"/>
          <c:x val="0.19669953638972698"/>
          <c:y val="4.6480743691899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'KPI''S'!$E$3</c:f>
              <c:strCache>
                <c:ptCount val="1"/>
                <c:pt idx="0">
                  <c:v>Total</c:v>
                </c:pt>
              </c:strCache>
            </c:strRef>
          </c:tx>
          <c:spPr>
            <a:solidFill>
              <a:schemeClr val="accent1"/>
            </a:solidFill>
            <a:ln>
              <a:noFill/>
            </a:ln>
            <a:effectLst/>
          </c:spPr>
          <c:invertIfNegative val="0"/>
          <c:cat>
            <c:strRef>
              <c:f>'KPI''S'!$D$4:$D$11</c:f>
              <c:strCache>
                <c:ptCount val="7"/>
                <c:pt idx="0">
                  <c:v>DD</c:v>
                </c:pt>
                <c:pt idx="1">
                  <c:v>GL</c:v>
                </c:pt>
                <c:pt idx="2">
                  <c:v>KKR</c:v>
                </c:pt>
                <c:pt idx="3">
                  <c:v>KXIP</c:v>
                </c:pt>
                <c:pt idx="4">
                  <c:v>MI</c:v>
                </c:pt>
                <c:pt idx="5">
                  <c:v>RPSG</c:v>
                </c:pt>
                <c:pt idx="6">
                  <c:v>SRH</c:v>
                </c:pt>
              </c:strCache>
            </c:strRef>
          </c:cat>
          <c:val>
            <c:numRef>
              <c:f>'KPI''S'!$E$4:$E$11</c:f>
              <c:numCache>
                <c:formatCode>General</c:formatCode>
                <c:ptCount val="7"/>
                <c:pt idx="0">
                  <c:v>2</c:v>
                </c:pt>
                <c:pt idx="1">
                  <c:v>3</c:v>
                </c:pt>
                <c:pt idx="2">
                  <c:v>2</c:v>
                </c:pt>
                <c:pt idx="3">
                  <c:v>2</c:v>
                </c:pt>
                <c:pt idx="4">
                  <c:v>2</c:v>
                </c:pt>
                <c:pt idx="5">
                  <c:v>2</c:v>
                </c:pt>
                <c:pt idx="6">
                  <c:v>3</c:v>
                </c:pt>
              </c:numCache>
            </c:numRef>
          </c:val>
          <c:extLst>
            <c:ext xmlns:c16="http://schemas.microsoft.com/office/drawing/2014/chart" uri="{C3380CC4-5D6E-409C-BE32-E72D297353CC}">
              <c16:uniqueId val="{00000000-B3C2-4E5A-98A8-232B12B0E847}"/>
            </c:ext>
          </c:extLst>
        </c:ser>
        <c:dLbls>
          <c:showLegendKey val="0"/>
          <c:showVal val="0"/>
          <c:showCatName val="0"/>
          <c:showSerName val="0"/>
          <c:showPercent val="0"/>
          <c:showBubbleSize val="0"/>
        </c:dLbls>
        <c:gapWidth val="219"/>
        <c:overlap val="-27"/>
        <c:axId val="463810847"/>
        <c:axId val="463811679"/>
      </c:barChart>
      <c:catAx>
        <c:axId val="46381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11679"/>
        <c:crosses val="autoZero"/>
        <c:auto val="1"/>
        <c:lblAlgn val="ctr"/>
        <c:lblOffset val="100"/>
        <c:noMultiLvlLbl val="0"/>
      </c:catAx>
      <c:valAx>
        <c:axId val="46381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1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No</a:t>
            </a:r>
            <a:r>
              <a:rPr lang="en-US" sz="1050" baseline="0"/>
              <a:t> of 50's</a:t>
            </a:r>
            <a:endParaRPr lang="en-US" sz="1050"/>
          </a:p>
        </c:rich>
      </c:tx>
      <c:layout>
        <c:manualLayout>
          <c:xMode val="edge"/>
          <c:yMode val="edge"/>
          <c:x val="0.38121577015987756"/>
          <c:y val="8.5539006419378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cat>
            <c:strRef>
              <c:f>'KPI''S'!$M$4:$M$5</c:f>
              <c:strCache>
                <c:ptCount val="1"/>
                <c:pt idx="0">
                  <c:v>2016</c:v>
                </c:pt>
              </c:strCache>
            </c:strRef>
          </c:cat>
          <c:val>
            <c:numRef>
              <c:f>'KPI''S'!$N$4:$N$5</c:f>
              <c:numCache>
                <c:formatCode>General</c:formatCode>
                <c:ptCount val="1"/>
                <c:pt idx="0">
                  <c:v>7</c:v>
                </c:pt>
              </c:numCache>
            </c:numRef>
          </c:val>
          <c:extLst>
            <c:ext xmlns:c16="http://schemas.microsoft.com/office/drawing/2014/chart" uri="{C3380CC4-5D6E-409C-BE32-E72D297353CC}">
              <c16:uniqueId val="{00000000-BFC3-44EA-BA80-D70B9EB8DEF2}"/>
            </c:ext>
          </c:extLst>
        </c:ser>
        <c:dLbls>
          <c:showLegendKey val="0"/>
          <c:showVal val="0"/>
          <c:showCatName val="0"/>
          <c:showSerName val="0"/>
          <c:showPercent val="0"/>
          <c:showBubbleSize val="0"/>
        </c:dLbls>
        <c:gapWidth val="219"/>
        <c:overlap val="-27"/>
        <c:axId val="547072399"/>
        <c:axId val="547069903"/>
      </c:barChart>
      <c:catAx>
        <c:axId val="54707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069903"/>
        <c:crosses val="autoZero"/>
        <c:auto val="1"/>
        <c:lblAlgn val="ctr"/>
        <c:lblOffset val="100"/>
        <c:noMultiLvlLbl val="0"/>
      </c:catAx>
      <c:valAx>
        <c:axId val="54706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07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Runs</a:t>
            </a:r>
            <a:r>
              <a:rPr lang="en-US" sz="1000" baseline="0"/>
              <a:t> against oppents</a:t>
            </a:r>
            <a:endParaRPr lang="en-US" sz="1000"/>
          </a:p>
        </c:rich>
      </c:tx>
      <c:layout>
        <c:manualLayout>
          <c:xMode val="edge"/>
          <c:yMode val="edge"/>
          <c:x val="0.33162672476397964"/>
          <c:y val="9.1134441528142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'KPI''S'!$H$3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88-4EC5-8E46-AA4D9D5A8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88-4EC5-8E46-AA4D9D5A8D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88-4EC5-8E46-AA4D9D5A8D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88-4EC5-8E46-AA4D9D5A8D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88-4EC5-8E46-AA4D9D5A8D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88-4EC5-8E46-AA4D9D5A8D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388-4EC5-8E46-AA4D9D5A8D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88-4EC5-8E46-AA4D9D5A8D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388-4EC5-8E46-AA4D9D5A8D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388-4EC5-8E46-AA4D9D5A8D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388-4EC5-8E46-AA4D9D5A8DB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388-4EC5-8E46-AA4D9D5A8DB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388-4EC5-8E46-AA4D9D5A8DB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388-4EC5-8E46-AA4D9D5A8D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'KPI''S'!$G$4:$G$11</c:f>
              <c:strCache>
                <c:ptCount val="7"/>
                <c:pt idx="0">
                  <c:v>DD</c:v>
                </c:pt>
                <c:pt idx="1">
                  <c:v>GL</c:v>
                </c:pt>
                <c:pt idx="2">
                  <c:v>KKR</c:v>
                </c:pt>
                <c:pt idx="3">
                  <c:v>KXIP</c:v>
                </c:pt>
                <c:pt idx="4">
                  <c:v>MI</c:v>
                </c:pt>
                <c:pt idx="5">
                  <c:v>RPSG</c:v>
                </c:pt>
                <c:pt idx="6">
                  <c:v>SRH</c:v>
                </c:pt>
              </c:strCache>
            </c:strRef>
          </c:cat>
          <c:val>
            <c:numRef>
              <c:f>'KPI''S'!$H$4:$H$11</c:f>
              <c:numCache>
                <c:formatCode>General</c:formatCode>
                <c:ptCount val="7"/>
                <c:pt idx="0">
                  <c:v>133</c:v>
                </c:pt>
                <c:pt idx="1">
                  <c:v>209</c:v>
                </c:pt>
                <c:pt idx="2">
                  <c:v>127</c:v>
                </c:pt>
                <c:pt idx="3">
                  <c:v>133</c:v>
                </c:pt>
                <c:pt idx="4">
                  <c:v>40</c:v>
                </c:pt>
                <c:pt idx="5">
                  <c:v>188</c:v>
                </c:pt>
                <c:pt idx="6">
                  <c:v>143</c:v>
                </c:pt>
              </c:numCache>
            </c:numRef>
          </c:val>
          <c:extLst>
            <c:ext xmlns:c16="http://schemas.microsoft.com/office/drawing/2014/chart" uri="{C3380CC4-5D6E-409C-BE32-E72D297353CC}">
              <c16:uniqueId val="{0000001C-2388-4EC5-8E46-AA4D9D5A8D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Total</a:t>
            </a:r>
            <a:r>
              <a:rPr lang="en-US" sz="1050" baseline="0"/>
              <a:t> Century</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'KPI''S'!$Q$3</c:f>
              <c:strCache>
                <c:ptCount val="1"/>
                <c:pt idx="0">
                  <c:v>Total</c:v>
                </c:pt>
              </c:strCache>
            </c:strRef>
          </c:tx>
          <c:spPr>
            <a:solidFill>
              <a:schemeClr val="accent1"/>
            </a:solidFill>
            <a:ln>
              <a:noFill/>
            </a:ln>
            <a:effectLst/>
          </c:spPr>
          <c:invertIfNegative val="0"/>
          <c:cat>
            <c:strRef>
              <c:f>'KPI''S'!$P$4:$P$5</c:f>
              <c:strCache>
                <c:ptCount val="1"/>
                <c:pt idx="0">
                  <c:v>2016</c:v>
                </c:pt>
              </c:strCache>
            </c:strRef>
          </c:cat>
          <c:val>
            <c:numRef>
              <c:f>'KPI''S'!$Q$4:$Q$5</c:f>
              <c:numCache>
                <c:formatCode>General</c:formatCode>
                <c:ptCount val="1"/>
                <c:pt idx="0">
                  <c:v>4</c:v>
                </c:pt>
              </c:numCache>
            </c:numRef>
          </c:val>
          <c:extLst>
            <c:ext xmlns:c16="http://schemas.microsoft.com/office/drawing/2014/chart" uri="{C3380CC4-5D6E-409C-BE32-E72D297353CC}">
              <c16:uniqueId val="{00000000-A9FE-4C32-9E6E-E2208074A104}"/>
            </c:ext>
          </c:extLst>
        </c:ser>
        <c:dLbls>
          <c:showLegendKey val="0"/>
          <c:showVal val="0"/>
          <c:showCatName val="0"/>
          <c:showSerName val="0"/>
          <c:showPercent val="0"/>
          <c:showBubbleSize val="0"/>
        </c:dLbls>
        <c:gapWidth val="219"/>
        <c:overlap val="-27"/>
        <c:axId val="1394950527"/>
        <c:axId val="1394950943"/>
      </c:barChart>
      <c:catAx>
        <c:axId val="13949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50943"/>
        <c:crosses val="autoZero"/>
        <c:auto val="1"/>
        <c:lblAlgn val="ctr"/>
        <c:lblOffset val="100"/>
        <c:noMultiLvlLbl val="0"/>
      </c:catAx>
      <c:valAx>
        <c:axId val="139495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5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Total</a:t>
            </a:r>
            <a:r>
              <a:rPr lang="en-US" sz="1050" baseline="0"/>
              <a:t> Runs</a:t>
            </a:r>
            <a:endParaRPr lang="en-US" sz="1050"/>
          </a:p>
        </c:rich>
      </c:tx>
      <c:layout>
        <c:manualLayout>
          <c:xMode val="edge"/>
          <c:yMode val="edge"/>
          <c:x val="0.40982258934922855"/>
          <c:y val="5.6398659510121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'KPI''S'!$K$3</c:f>
              <c:strCache>
                <c:ptCount val="1"/>
                <c:pt idx="0">
                  <c:v>Total</c:v>
                </c:pt>
              </c:strCache>
            </c:strRef>
          </c:tx>
          <c:spPr>
            <a:solidFill>
              <a:schemeClr val="accent1"/>
            </a:solidFill>
            <a:ln>
              <a:noFill/>
            </a:ln>
            <a:effectLst/>
          </c:spPr>
          <c:invertIfNegative val="0"/>
          <c:cat>
            <c:strRef>
              <c:f>'KPI''S'!$J$4:$J$5</c:f>
              <c:strCache>
                <c:ptCount val="1"/>
                <c:pt idx="0">
                  <c:v>2016</c:v>
                </c:pt>
              </c:strCache>
            </c:strRef>
          </c:cat>
          <c:val>
            <c:numRef>
              <c:f>'KPI''S'!$K$4:$K$5</c:f>
              <c:numCache>
                <c:formatCode>General</c:formatCode>
                <c:ptCount val="1"/>
                <c:pt idx="0">
                  <c:v>973</c:v>
                </c:pt>
              </c:numCache>
            </c:numRef>
          </c:val>
          <c:extLst>
            <c:ext xmlns:c16="http://schemas.microsoft.com/office/drawing/2014/chart" uri="{C3380CC4-5D6E-409C-BE32-E72D297353CC}">
              <c16:uniqueId val="{00000000-5E6D-4340-A3BD-1E8AFDC0A8B6}"/>
            </c:ext>
          </c:extLst>
        </c:ser>
        <c:dLbls>
          <c:showLegendKey val="0"/>
          <c:showVal val="0"/>
          <c:showCatName val="0"/>
          <c:showSerName val="0"/>
          <c:showPercent val="0"/>
          <c:showBubbleSize val="0"/>
        </c:dLbls>
        <c:gapWidth val="182"/>
        <c:axId val="391493647"/>
        <c:axId val="458704015"/>
      </c:barChart>
      <c:catAx>
        <c:axId val="39149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04015"/>
        <c:crosses val="autoZero"/>
        <c:auto val="1"/>
        <c:lblAlgn val="ctr"/>
        <c:lblOffset val="100"/>
        <c:noMultiLvlLbl val="0"/>
      </c:catAx>
      <c:valAx>
        <c:axId val="458704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9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[Virat_Kohli_IPL_2008.xlsx]KPI'S!PivotTable11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2572178477690289"/>
          <c:w val="0.61991776027996504"/>
          <c:h val="0.6249431321084864"/>
        </c:manualLayout>
      </c:layout>
      <c:lineChart>
        <c:grouping val="standard"/>
        <c:varyColors val="0"/>
        <c:ser>
          <c:idx val="0"/>
          <c:order val="0"/>
          <c:tx>
            <c:strRef>
              <c:f>'KPI''S'!$H$27</c:f>
              <c:strCache>
                <c:ptCount val="1"/>
                <c:pt idx="0">
                  <c:v>Sum of Balls</c:v>
                </c:pt>
              </c:strCache>
            </c:strRef>
          </c:tx>
          <c:spPr>
            <a:ln w="28575" cap="rnd">
              <a:solidFill>
                <a:schemeClr val="accent1"/>
              </a:solidFill>
              <a:round/>
            </a:ln>
            <a:effectLst/>
          </c:spPr>
          <c:marker>
            <c:symbol val="none"/>
          </c:marker>
          <c:cat>
            <c:strRef>
              <c:f>'KPI''S'!$G$28:$G$29</c:f>
              <c:strCache>
                <c:ptCount val="1"/>
                <c:pt idx="0">
                  <c:v>2016</c:v>
                </c:pt>
              </c:strCache>
            </c:strRef>
          </c:cat>
          <c:val>
            <c:numRef>
              <c:f>'KPI''S'!$H$28:$H$29</c:f>
              <c:numCache>
                <c:formatCode>General</c:formatCode>
                <c:ptCount val="1"/>
                <c:pt idx="0">
                  <c:v>640</c:v>
                </c:pt>
              </c:numCache>
            </c:numRef>
          </c:val>
          <c:smooth val="0"/>
          <c:extLst>
            <c:ext xmlns:c16="http://schemas.microsoft.com/office/drawing/2014/chart" uri="{C3380CC4-5D6E-409C-BE32-E72D297353CC}">
              <c16:uniqueId val="{00000000-1C01-4296-ADAA-7AC283C91706}"/>
            </c:ext>
          </c:extLst>
        </c:ser>
        <c:ser>
          <c:idx val="1"/>
          <c:order val="1"/>
          <c:tx>
            <c:strRef>
              <c:f>'KPI''S'!$I$27</c:f>
              <c:strCache>
                <c:ptCount val="1"/>
                <c:pt idx="0">
                  <c:v>Sum of Dot Balls</c:v>
                </c:pt>
              </c:strCache>
            </c:strRef>
          </c:tx>
          <c:spPr>
            <a:ln w="28575" cap="rnd">
              <a:solidFill>
                <a:schemeClr val="accent2"/>
              </a:solidFill>
              <a:round/>
            </a:ln>
            <a:effectLst/>
          </c:spPr>
          <c:marker>
            <c:symbol val="none"/>
          </c:marker>
          <c:cat>
            <c:strRef>
              <c:f>'KPI''S'!$G$28:$G$29</c:f>
              <c:strCache>
                <c:ptCount val="1"/>
                <c:pt idx="0">
                  <c:v>2016</c:v>
                </c:pt>
              </c:strCache>
            </c:strRef>
          </c:cat>
          <c:val>
            <c:numRef>
              <c:f>'KPI''S'!$I$28:$I$29</c:f>
              <c:numCache>
                <c:formatCode>General</c:formatCode>
                <c:ptCount val="1"/>
                <c:pt idx="0">
                  <c:v>169</c:v>
                </c:pt>
              </c:numCache>
            </c:numRef>
          </c:val>
          <c:smooth val="0"/>
          <c:extLst>
            <c:ext xmlns:c16="http://schemas.microsoft.com/office/drawing/2014/chart" uri="{C3380CC4-5D6E-409C-BE32-E72D297353CC}">
              <c16:uniqueId val="{00000001-1C01-4296-ADAA-7AC283C91706}"/>
            </c:ext>
          </c:extLst>
        </c:ser>
        <c:dLbls>
          <c:showLegendKey val="0"/>
          <c:showVal val="0"/>
          <c:showCatName val="0"/>
          <c:showSerName val="0"/>
          <c:showPercent val="0"/>
          <c:showBubbleSize val="0"/>
        </c:dLbls>
        <c:smooth val="0"/>
        <c:axId val="1595595471"/>
        <c:axId val="1595592143"/>
      </c:lineChart>
      <c:catAx>
        <c:axId val="15955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592143"/>
        <c:crosses val="autoZero"/>
        <c:auto val="1"/>
        <c:lblAlgn val="ctr"/>
        <c:lblOffset val="100"/>
        <c:noMultiLvlLbl val="0"/>
      </c:catAx>
      <c:valAx>
        <c:axId val="159559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5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'KPI''S'!$R$27</c:f>
              <c:strCache>
                <c:ptCount val="1"/>
                <c:pt idx="0">
                  <c:v>Batting AVG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'KPI''S'!$Q$28:$Q$46</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Grand Total</c:v>
                </c:pt>
              </c:strCache>
            </c:strRef>
          </c:xVal>
          <c:yVal>
            <c:numRef>
              <c:f>'KPI''S'!$R$28:$R$46</c:f>
              <c:numCache>
                <c:formatCode>0.00</c:formatCode>
                <c:ptCount val="19"/>
                <c:pt idx="0">
                  <c:v>11.64</c:v>
                </c:pt>
                <c:pt idx="1">
                  <c:v>22.66</c:v>
                </c:pt>
                <c:pt idx="2">
                  <c:v>32.22</c:v>
                </c:pt>
                <c:pt idx="3">
                  <c:v>55.56</c:v>
                </c:pt>
                <c:pt idx="4">
                  <c:v>28</c:v>
                </c:pt>
                <c:pt idx="5">
                  <c:v>45.29</c:v>
                </c:pt>
                <c:pt idx="6">
                  <c:v>27.62</c:v>
                </c:pt>
                <c:pt idx="7">
                  <c:v>38</c:v>
                </c:pt>
                <c:pt idx="8">
                  <c:v>81.08</c:v>
                </c:pt>
                <c:pt idx="9">
                  <c:v>30.8</c:v>
                </c:pt>
                <c:pt idx="10">
                  <c:v>48.18</c:v>
                </c:pt>
                <c:pt idx="11">
                  <c:v>33.14</c:v>
                </c:pt>
                <c:pt idx="12">
                  <c:v>42.36</c:v>
                </c:pt>
                <c:pt idx="13">
                  <c:v>28.92</c:v>
                </c:pt>
                <c:pt idx="14">
                  <c:v>22.73</c:v>
                </c:pt>
                <c:pt idx="15">
                  <c:v>53.25</c:v>
                </c:pt>
                <c:pt idx="16">
                  <c:v>61.75</c:v>
                </c:pt>
                <c:pt idx="17">
                  <c:v>54.75</c:v>
                </c:pt>
                <c:pt idx="18">
                  <c:v>0</c:v>
                </c:pt>
              </c:numCache>
            </c:numRef>
          </c:yVal>
          <c:smooth val="0"/>
          <c:extLst>
            <c:ext xmlns:c16="http://schemas.microsoft.com/office/drawing/2014/chart" uri="{C3380CC4-5D6E-409C-BE32-E72D297353CC}">
              <c16:uniqueId val="{00000000-0BAE-4462-8AC5-DEE3F21E4869}"/>
            </c:ext>
          </c:extLst>
        </c:ser>
        <c:dLbls>
          <c:showLegendKey val="0"/>
          <c:showVal val="0"/>
          <c:showCatName val="0"/>
          <c:showSerName val="0"/>
          <c:showPercent val="0"/>
          <c:showBubbleSize val="0"/>
        </c:dLbls>
        <c:axId val="461928383"/>
        <c:axId val="461923807"/>
      </c:scatterChart>
      <c:valAx>
        <c:axId val="46192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23807"/>
        <c:crosses val="autoZero"/>
        <c:crossBetween val="midCat"/>
      </c:valAx>
      <c:valAx>
        <c:axId val="461923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283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'KPI''S'!$L$27</c:f>
              <c:strCache>
                <c:ptCount val="1"/>
                <c:pt idx="0">
                  <c:v>Total</c:v>
                </c:pt>
              </c:strCache>
            </c:strRef>
          </c:tx>
          <c:spPr>
            <a:solidFill>
              <a:schemeClr val="accent1"/>
            </a:solidFill>
            <a:ln>
              <a:noFill/>
            </a:ln>
            <a:effectLst/>
          </c:spPr>
          <c:invertIfNegative val="0"/>
          <c:cat>
            <c:multiLvlStrRef>
              <c:f>'KPI''S'!$K$28:$K$32</c:f>
              <c:multiLvlStrCache>
                <c:ptCount val="2"/>
                <c:lvl>
                  <c:pt idx="0">
                    <c:v>2016</c:v>
                  </c:pt>
                  <c:pt idx="1">
                    <c:v>2016</c:v>
                  </c:pt>
                </c:lvl>
                <c:lvl>
                  <c:pt idx="0">
                    <c:v>Not Out</c:v>
                  </c:pt>
                  <c:pt idx="1">
                    <c:v>Out</c:v>
                  </c:pt>
                </c:lvl>
              </c:multiLvlStrCache>
            </c:multiLvlStrRef>
          </c:cat>
          <c:val>
            <c:numRef>
              <c:f>'KPI''S'!$L$28:$L$32</c:f>
              <c:numCache>
                <c:formatCode>General</c:formatCode>
                <c:ptCount val="2"/>
                <c:pt idx="0">
                  <c:v>4</c:v>
                </c:pt>
                <c:pt idx="1">
                  <c:v>12</c:v>
                </c:pt>
              </c:numCache>
            </c:numRef>
          </c:val>
          <c:extLst>
            <c:ext xmlns:c16="http://schemas.microsoft.com/office/drawing/2014/chart" uri="{C3380CC4-5D6E-409C-BE32-E72D297353CC}">
              <c16:uniqueId val="{00000000-ABE4-4DBC-BBFB-DB101E4CB441}"/>
            </c:ext>
          </c:extLst>
        </c:ser>
        <c:dLbls>
          <c:showLegendKey val="0"/>
          <c:showVal val="0"/>
          <c:showCatName val="0"/>
          <c:showSerName val="0"/>
          <c:showPercent val="0"/>
          <c:showBubbleSize val="0"/>
        </c:dLbls>
        <c:gapWidth val="219"/>
        <c:overlap val="-27"/>
        <c:axId val="1548930575"/>
        <c:axId val="1548930159"/>
      </c:barChart>
      <c:catAx>
        <c:axId val="154893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30159"/>
        <c:crosses val="autoZero"/>
        <c:auto val="1"/>
        <c:lblAlgn val="ctr"/>
        <c:lblOffset val="100"/>
        <c:noMultiLvlLbl val="0"/>
      </c:catAx>
      <c:valAx>
        <c:axId val="154893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3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'KPI''S'!$E$27</c:f>
              <c:strCache>
                <c:ptCount val="1"/>
                <c:pt idx="0">
                  <c:v>Total</c:v>
                </c:pt>
              </c:strCache>
            </c:strRef>
          </c:tx>
          <c:spPr>
            <a:ln w="28575" cap="rnd">
              <a:solidFill>
                <a:schemeClr val="accent1"/>
              </a:solidFill>
              <a:round/>
            </a:ln>
            <a:effectLst/>
          </c:spPr>
          <c:marker>
            <c:symbol val="none"/>
          </c:marker>
          <c:cat>
            <c:strRef>
              <c:f>'KPI''S'!$D$28:$D$29</c:f>
              <c:strCache>
                <c:ptCount val="1"/>
                <c:pt idx="0">
                  <c:v>2016</c:v>
                </c:pt>
              </c:strCache>
            </c:strRef>
          </c:cat>
          <c:val>
            <c:numRef>
              <c:f>'KPI''S'!$E$28:$E$29</c:f>
              <c:numCache>
                <c:formatCode>General</c:formatCode>
                <c:ptCount val="1"/>
                <c:pt idx="0">
                  <c:v>38</c:v>
                </c:pt>
              </c:numCache>
            </c:numRef>
          </c:val>
          <c:extLst>
            <c:ext xmlns:c16="http://schemas.microsoft.com/office/drawing/2014/chart" uri="{C3380CC4-5D6E-409C-BE32-E72D297353CC}">
              <c16:uniqueId val="{00000000-AD1B-4F35-A09E-B754FC94C4FA}"/>
            </c:ext>
          </c:extLst>
        </c:ser>
        <c:dLbls>
          <c:showLegendKey val="0"/>
          <c:showVal val="0"/>
          <c:showCatName val="0"/>
          <c:showSerName val="0"/>
          <c:showPercent val="0"/>
          <c:showBubbleSize val="0"/>
        </c:dLbls>
        <c:axId val="541722367"/>
        <c:axId val="541723199"/>
      </c:radarChart>
      <c:catAx>
        <c:axId val="54172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23199"/>
        <c:crosses val="autoZero"/>
        <c:auto val="1"/>
        <c:lblAlgn val="ctr"/>
        <c:lblOffset val="100"/>
        <c:noMultiLvlLbl val="0"/>
      </c:catAx>
      <c:valAx>
        <c:axId val="54172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2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997594050743652E-2"/>
          <c:y val="0.19486111111111112"/>
          <c:w val="0.83698140857392822"/>
          <c:h val="0.59454141149023043"/>
        </c:manualLayout>
      </c:layout>
      <c:areaChart>
        <c:grouping val="stacked"/>
        <c:varyColors val="0"/>
        <c:ser>
          <c:idx val="0"/>
          <c:order val="0"/>
          <c:tx>
            <c:strRef>
              <c:f>'KPI''S'!$O$27</c:f>
              <c:strCache>
                <c:ptCount val="1"/>
                <c:pt idx="0">
                  <c:v>Strike Rate</c:v>
                </c:pt>
              </c:strCache>
            </c:strRef>
          </c:tx>
          <c:spPr>
            <a:solidFill>
              <a:schemeClr val="accent1"/>
            </a:solidFill>
            <a:ln>
              <a:noFill/>
            </a:ln>
            <a:effectLst/>
          </c:spPr>
          <c:cat>
            <c:strRef>
              <c:f>'KPI''S'!$N$28:$N$46</c:f>
              <c:strCache>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Grand Total</c:v>
                </c:pt>
              </c:strCache>
            </c:strRef>
          </c:cat>
          <c:val>
            <c:numRef>
              <c:f>'KPI''S'!$O$28:$O$46</c:f>
              <c:numCache>
                <c:formatCode>0.00</c:formatCode>
                <c:ptCount val="19"/>
                <c:pt idx="0">
                  <c:v>105.09554140127389</c:v>
                </c:pt>
                <c:pt idx="1">
                  <c:v>112.32876712328768</c:v>
                </c:pt>
                <c:pt idx="2">
                  <c:v>144.81132075471697</c:v>
                </c:pt>
                <c:pt idx="3">
                  <c:v>121.08695652173913</c:v>
                </c:pt>
                <c:pt idx="4">
                  <c:v>110.97560975609757</c:v>
                </c:pt>
                <c:pt idx="5">
                  <c:v>138.73085339168489</c:v>
                </c:pt>
                <c:pt idx="6">
                  <c:v>122.10884353741496</c:v>
                </c:pt>
                <c:pt idx="7">
                  <c:v>130.82901554404145</c:v>
                </c:pt>
                <c:pt idx="8">
                  <c:v>152.03125</c:v>
                </c:pt>
                <c:pt idx="9">
                  <c:v>122.22222222222223</c:v>
                </c:pt>
                <c:pt idx="10">
                  <c:v>139.10761154855641</c:v>
                </c:pt>
                <c:pt idx="11">
                  <c:v>141.46341463414635</c:v>
                </c:pt>
                <c:pt idx="12">
                  <c:v>121.35416666666667</c:v>
                </c:pt>
                <c:pt idx="13">
                  <c:v>137.28813559322032</c:v>
                </c:pt>
                <c:pt idx="14">
                  <c:v>115.98639455782313</c:v>
                </c:pt>
                <c:pt idx="15">
                  <c:v>139.8249452954048</c:v>
                </c:pt>
                <c:pt idx="16">
                  <c:v>154.69728601252609</c:v>
                </c:pt>
                <c:pt idx="17">
                  <c:v>144.7136563876652</c:v>
                </c:pt>
                <c:pt idx="18">
                  <c:v>0</c:v>
                </c:pt>
              </c:numCache>
            </c:numRef>
          </c:val>
          <c:extLst>
            <c:ext xmlns:c16="http://schemas.microsoft.com/office/drawing/2014/chart" uri="{C3380CC4-5D6E-409C-BE32-E72D297353CC}">
              <c16:uniqueId val="{00000000-62D7-46A8-9C58-1D871262BB94}"/>
            </c:ext>
          </c:extLst>
        </c:ser>
        <c:dLbls>
          <c:showLegendKey val="0"/>
          <c:showVal val="0"/>
          <c:showCatName val="0"/>
          <c:showSerName val="0"/>
          <c:showPercent val="0"/>
          <c:showBubbleSize val="0"/>
        </c:dLbls>
        <c:axId val="1594699903"/>
        <c:axId val="1594705727"/>
      </c:areaChart>
      <c:catAx>
        <c:axId val="159469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05727"/>
        <c:crosses val="autoZero"/>
        <c:auto val="1"/>
        <c:lblAlgn val="ctr"/>
        <c:lblOffset val="100"/>
        <c:noMultiLvlLbl val="0"/>
      </c:catAx>
      <c:valAx>
        <c:axId val="1594705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9990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[Virat_Kohli_IPL_2008.xlsx]KPI'S!PivotTable9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'KPI''S'!$B$27</c:f>
              <c:strCache>
                <c:ptCount val="1"/>
                <c:pt idx="0">
                  <c:v>Total</c:v>
                </c:pt>
              </c:strCache>
            </c:strRef>
          </c:tx>
          <c:spPr>
            <a:ln w="28575" cap="rnd">
              <a:solidFill>
                <a:schemeClr val="accent1"/>
              </a:solidFill>
              <a:round/>
            </a:ln>
            <a:effectLst/>
          </c:spPr>
          <c:marker>
            <c:symbol val="none"/>
          </c:marker>
          <c:cat>
            <c:strRef>
              <c:f>'KPI''S'!$A$28:$A$29</c:f>
              <c:strCache>
                <c:ptCount val="1"/>
                <c:pt idx="0">
                  <c:v>2016</c:v>
                </c:pt>
              </c:strCache>
            </c:strRef>
          </c:cat>
          <c:val>
            <c:numRef>
              <c:f>'KPI''S'!$B$28:$B$29</c:f>
              <c:numCache>
                <c:formatCode>General</c:formatCode>
                <c:ptCount val="1"/>
                <c:pt idx="0">
                  <c:v>84</c:v>
                </c:pt>
              </c:numCache>
            </c:numRef>
          </c:val>
          <c:smooth val="0"/>
          <c:extLst>
            <c:ext xmlns:c16="http://schemas.microsoft.com/office/drawing/2014/chart" uri="{C3380CC4-5D6E-409C-BE32-E72D297353CC}">
              <c16:uniqueId val="{00000000-16A8-4DA3-BF16-C711DB72330B}"/>
            </c:ext>
          </c:extLst>
        </c:ser>
        <c:dLbls>
          <c:showLegendKey val="0"/>
          <c:showVal val="0"/>
          <c:showCatName val="0"/>
          <c:showSerName val="0"/>
          <c:showPercent val="0"/>
          <c:showBubbleSize val="0"/>
        </c:dLbls>
        <c:smooth val="0"/>
        <c:axId val="112275487"/>
        <c:axId val="112276735"/>
      </c:lineChart>
      <c:catAx>
        <c:axId val="1122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6735"/>
        <c:crosses val="autoZero"/>
        <c:auto val="1"/>
        <c:lblAlgn val="ctr"/>
        <c:lblOffset val="100"/>
        <c:noMultiLvlLbl val="0"/>
      </c:catAx>
      <c:valAx>
        <c:axId val="11227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1.jpe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11430</xdr:rowOff>
    </xdr:from>
    <xdr:to>
      <xdr:col>11</xdr:col>
      <xdr:colOff>30480</xdr:colOff>
      <xdr:row>15</xdr:row>
      <xdr:rowOff>83820</xdr:rowOff>
    </xdr:to>
    <xdr:graphicFrame macro="">
      <xdr:nvGraphicFramePr>
        <xdr:cNvPr id="2" name="Chart 1">
          <a:extLst>
            <a:ext uri="{FF2B5EF4-FFF2-40B4-BE49-F238E27FC236}">
              <a16:creationId xmlns:a16="http://schemas.microsoft.com/office/drawing/2014/main" id="{6AEA9508-A87D-44DF-AC0F-345F52216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403860</xdr:colOff>
      <xdr:row>1</xdr:row>
      <xdr:rowOff>148590</xdr:rowOff>
    </xdr:from>
    <xdr:to>
      <xdr:col>12</xdr:col>
      <xdr:colOff>144780</xdr:colOff>
      <xdr:row>16</xdr:row>
      <xdr:rowOff>148590</xdr:rowOff>
    </xdr:to>
    <xdr:graphicFrame macro="">
      <xdr:nvGraphicFramePr>
        <xdr:cNvPr id="2" name="Chart 1">
          <a:extLst>
            <a:ext uri="{FF2B5EF4-FFF2-40B4-BE49-F238E27FC236}">
              <a16:creationId xmlns:a16="http://schemas.microsoft.com/office/drawing/2014/main" id="{005E0B68-4AAD-40BB-8F1D-D7C018238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579120</xdr:colOff>
      <xdr:row>2</xdr:row>
      <xdr:rowOff>3810</xdr:rowOff>
    </xdr:from>
    <xdr:to>
      <xdr:col>10</xdr:col>
      <xdr:colOff>274320</xdr:colOff>
      <xdr:row>17</xdr:row>
      <xdr:rowOff>3810</xdr:rowOff>
    </xdr:to>
    <xdr:graphicFrame macro="">
      <xdr:nvGraphicFramePr>
        <xdr:cNvPr id="2" name="Chart 1">
          <a:extLst>
            <a:ext uri="{FF2B5EF4-FFF2-40B4-BE49-F238E27FC236}">
              <a16:creationId xmlns:a16="http://schemas.microsoft.com/office/drawing/2014/main" id="{8767AF90-9917-4072-8E64-B5830DEF3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2</xdr:row>
      <xdr:rowOff>38100</xdr:rowOff>
    </xdr:from>
    <xdr:to>
      <xdr:col>11</xdr:col>
      <xdr:colOff>0</xdr:colOff>
      <xdr:row>15</xdr:row>
      <xdr:rowOff>106680</xdr:rowOff>
    </xdr:to>
    <xdr:graphicFrame macro="">
      <xdr:nvGraphicFramePr>
        <xdr:cNvPr id="2" name="Chart 1">
          <a:extLst>
            <a:ext uri="{FF2B5EF4-FFF2-40B4-BE49-F238E27FC236}">
              <a16:creationId xmlns:a16="http://schemas.microsoft.com/office/drawing/2014/main" id="{6E4B39D0-025A-4C42-BF93-36FDCFFF5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1</xdr:row>
      <xdr:rowOff>163830</xdr:rowOff>
    </xdr:from>
    <xdr:to>
      <xdr:col>10</xdr:col>
      <xdr:colOff>68580</xdr:colOff>
      <xdr:row>15</xdr:row>
      <xdr:rowOff>22860</xdr:rowOff>
    </xdr:to>
    <xdr:graphicFrame macro="">
      <xdr:nvGraphicFramePr>
        <xdr:cNvPr id="2" name="Chart 1">
          <a:extLst>
            <a:ext uri="{FF2B5EF4-FFF2-40B4-BE49-F238E27FC236}">
              <a16:creationId xmlns:a16="http://schemas.microsoft.com/office/drawing/2014/main" id="{3BF6DE21-77F9-4DA8-A7ED-FE2978AD6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2</xdr:row>
      <xdr:rowOff>3810</xdr:rowOff>
    </xdr:from>
    <xdr:to>
      <xdr:col>13</xdr:col>
      <xdr:colOff>30480</xdr:colOff>
      <xdr:row>16</xdr:row>
      <xdr:rowOff>22860</xdr:rowOff>
    </xdr:to>
    <xdr:graphicFrame macro="">
      <xdr:nvGraphicFramePr>
        <xdr:cNvPr id="2" name="Chart 1">
          <a:extLst>
            <a:ext uri="{FF2B5EF4-FFF2-40B4-BE49-F238E27FC236}">
              <a16:creationId xmlns:a16="http://schemas.microsoft.com/office/drawing/2014/main" id="{80749601-3555-4867-A0A1-050E8C0A1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1</xdr:row>
      <xdr:rowOff>156210</xdr:rowOff>
    </xdr:from>
    <xdr:to>
      <xdr:col>11</xdr:col>
      <xdr:colOff>312420</xdr:colOff>
      <xdr:row>16</xdr:row>
      <xdr:rowOff>156210</xdr:rowOff>
    </xdr:to>
    <xdr:graphicFrame macro="">
      <xdr:nvGraphicFramePr>
        <xdr:cNvPr id="2" name="Chart 1">
          <a:extLst>
            <a:ext uri="{FF2B5EF4-FFF2-40B4-BE49-F238E27FC236}">
              <a16:creationId xmlns:a16="http://schemas.microsoft.com/office/drawing/2014/main" id="{02A6A8E1-045D-4CB3-AB44-635BF7E5B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163830</xdr:rowOff>
    </xdr:from>
    <xdr:to>
      <xdr:col>11</xdr:col>
      <xdr:colOff>304800</xdr:colOff>
      <xdr:row>16</xdr:row>
      <xdr:rowOff>163830</xdr:rowOff>
    </xdr:to>
    <xdr:graphicFrame macro="">
      <xdr:nvGraphicFramePr>
        <xdr:cNvPr id="2" name="Chart 1">
          <a:extLst>
            <a:ext uri="{FF2B5EF4-FFF2-40B4-BE49-F238E27FC236}">
              <a16:creationId xmlns:a16="http://schemas.microsoft.com/office/drawing/2014/main" id="{CB4EE7B0-E6E8-4EB5-8777-9BD73E22E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60960</xdr:colOff>
      <xdr:row>0</xdr:row>
      <xdr:rowOff>106680</xdr:rowOff>
    </xdr:from>
    <xdr:to>
      <xdr:col>6</xdr:col>
      <xdr:colOff>15240</xdr:colOff>
      <xdr:row>3</xdr:row>
      <xdr:rowOff>76200</xdr:rowOff>
    </xdr:to>
    <xdr:sp macro="" textlink="">
      <xdr:nvSpPr>
        <xdr:cNvPr id="5" name="Rectangle: Rounded Corners 4">
          <a:extLst>
            <a:ext uri="{FF2B5EF4-FFF2-40B4-BE49-F238E27FC236}">
              <a16:creationId xmlns:a16="http://schemas.microsoft.com/office/drawing/2014/main" id="{4A939CAD-5E5C-48E8-8A6F-4896C2A8B7FD}"/>
            </a:ext>
          </a:extLst>
        </xdr:cNvPr>
        <xdr:cNvSpPr/>
      </xdr:nvSpPr>
      <xdr:spPr>
        <a:xfrm>
          <a:off x="60960" y="106680"/>
          <a:ext cx="3611880" cy="518160"/>
        </a:xfrm>
        <a:prstGeom prst="roundRect">
          <a:avLst/>
        </a:prstGeom>
        <a:solidFill>
          <a:schemeClr val="bg1">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2400" b="0" cap="none" spc="0">
              <a:ln w="0"/>
              <a:solidFill>
                <a:schemeClr val="accent1"/>
              </a:solidFill>
              <a:effectLst>
                <a:outerShdw blurRad="38100" dist="25400" dir="5400000" algn="ctr" rotWithShape="0">
                  <a:srgbClr val="6E747A">
                    <a:alpha val="43000"/>
                  </a:srgbClr>
                </a:outerShdw>
              </a:effectLst>
            </a:rPr>
            <a:t>Virat</a:t>
          </a:r>
          <a:r>
            <a:rPr lang="en-IN" sz="2400" b="0" cap="none" spc="0" baseline="0">
              <a:ln w="0"/>
              <a:solidFill>
                <a:schemeClr val="accent1"/>
              </a:solidFill>
              <a:effectLst>
                <a:outerShdw blurRad="38100" dist="25400" dir="5400000" algn="ctr" rotWithShape="0">
                  <a:srgbClr val="6E747A">
                    <a:alpha val="43000"/>
                  </a:srgbClr>
                </a:outerShdw>
              </a:effectLst>
            </a:rPr>
            <a:t> Kohli Ipl Performance</a:t>
          </a:r>
          <a:endParaRPr lang="en-IN" sz="2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91439</xdr:colOff>
      <xdr:row>3</xdr:row>
      <xdr:rowOff>152399</xdr:rowOff>
    </xdr:from>
    <xdr:to>
      <xdr:col>1</xdr:col>
      <xdr:colOff>373380</xdr:colOff>
      <xdr:row>27</xdr:row>
      <xdr:rowOff>83820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848B2539-0BCC-45EB-8173-D73F48EDC22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439" y="701039"/>
              <a:ext cx="891541" cy="4320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434340</xdr:colOff>
      <xdr:row>3</xdr:row>
      <xdr:rowOff>152401</xdr:rowOff>
    </xdr:from>
    <xdr:to>
      <xdr:col>5</xdr:col>
      <xdr:colOff>0</xdr:colOff>
      <xdr:row>12</xdr:row>
      <xdr:rowOff>175260</xdr:rowOff>
    </xdr:to>
    <xdr:graphicFrame macro="">
      <xdr:nvGraphicFramePr>
        <xdr:cNvPr id="7" name="Chart 6">
          <a:extLst>
            <a:ext uri="{FF2B5EF4-FFF2-40B4-BE49-F238E27FC236}">
              <a16:creationId xmlns:a16="http://schemas.microsoft.com/office/drawing/2014/main" id="{C30DF270-E7D3-4C30-9920-E49388FA4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3</xdr:row>
      <xdr:rowOff>137161</xdr:rowOff>
    </xdr:from>
    <xdr:to>
      <xdr:col>8</xdr:col>
      <xdr:colOff>160020</xdr:colOff>
      <xdr:row>12</xdr:row>
      <xdr:rowOff>175261</xdr:rowOff>
    </xdr:to>
    <xdr:graphicFrame macro="">
      <xdr:nvGraphicFramePr>
        <xdr:cNvPr id="8" name="Chart 7">
          <a:extLst>
            <a:ext uri="{FF2B5EF4-FFF2-40B4-BE49-F238E27FC236}">
              <a16:creationId xmlns:a16="http://schemas.microsoft.com/office/drawing/2014/main" id="{E771FCFC-E0A8-423B-B23E-08642CA50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411480</xdr:colOff>
      <xdr:row>3</xdr:row>
      <xdr:rowOff>144780</xdr:rowOff>
    </xdr:from>
    <xdr:to>
      <xdr:col>14</xdr:col>
      <xdr:colOff>541020</xdr:colOff>
      <xdr:row>12</xdr:row>
      <xdr:rowOff>160020</xdr:rowOff>
    </xdr:to>
    <xdr:graphicFrame macro="">
      <xdr:nvGraphicFramePr>
        <xdr:cNvPr id="9" name="Chart 8">
          <a:extLst>
            <a:ext uri="{FF2B5EF4-FFF2-40B4-BE49-F238E27FC236}">
              <a16:creationId xmlns:a16="http://schemas.microsoft.com/office/drawing/2014/main" id="{785ED814-3B3A-4E2A-8E80-C248CF45D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586740</xdr:colOff>
      <xdr:row>3</xdr:row>
      <xdr:rowOff>144780</xdr:rowOff>
    </xdr:from>
    <xdr:to>
      <xdr:col>18</xdr:col>
      <xdr:colOff>480060</xdr:colOff>
      <xdr:row>12</xdr:row>
      <xdr:rowOff>167640</xdr:rowOff>
    </xdr:to>
    <xdr:graphicFrame macro="">
      <xdr:nvGraphicFramePr>
        <xdr:cNvPr id="10" name="Chart 9">
          <a:extLst>
            <a:ext uri="{FF2B5EF4-FFF2-40B4-BE49-F238E27FC236}">
              <a16:creationId xmlns:a16="http://schemas.microsoft.com/office/drawing/2014/main" id="{2012E901-F3A5-4A18-BAB3-9C3C0C2FB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419100</xdr:colOff>
      <xdr:row>13</xdr:row>
      <xdr:rowOff>53340</xdr:rowOff>
    </xdr:from>
    <xdr:to>
      <xdr:col>5</xdr:col>
      <xdr:colOff>22860</xdr:colOff>
      <xdr:row>27</xdr:row>
      <xdr:rowOff>114300</xdr:rowOff>
    </xdr:to>
    <xdr:graphicFrame macro="">
      <xdr:nvGraphicFramePr>
        <xdr:cNvPr id="11" name="Chart 10">
          <a:extLst>
            <a:ext uri="{FF2B5EF4-FFF2-40B4-BE49-F238E27FC236}">
              <a16:creationId xmlns:a16="http://schemas.microsoft.com/office/drawing/2014/main" id="{6FA4E824-8C7F-44D1-B227-8B8C3EDAD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76200</xdr:colOff>
      <xdr:row>13</xdr:row>
      <xdr:rowOff>30480</xdr:rowOff>
    </xdr:from>
    <xdr:to>
      <xdr:col>8</xdr:col>
      <xdr:colOff>175260</xdr:colOff>
      <xdr:row>27</xdr:row>
      <xdr:rowOff>114300</xdr:rowOff>
    </xdr:to>
    <xdr:graphicFrame macro="">
      <xdr:nvGraphicFramePr>
        <xdr:cNvPr id="12" name="Chart 11">
          <a:extLst>
            <a:ext uri="{FF2B5EF4-FFF2-40B4-BE49-F238E27FC236}">
              <a16:creationId xmlns:a16="http://schemas.microsoft.com/office/drawing/2014/main" id="{10F7990E-D441-42AD-BA12-503B6A966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228600</xdr:colOff>
      <xdr:row>13</xdr:row>
      <xdr:rowOff>30480</xdr:rowOff>
    </xdr:from>
    <xdr:to>
      <xdr:col>11</xdr:col>
      <xdr:colOff>373380</xdr:colOff>
      <xdr:row>27</xdr:row>
      <xdr:rowOff>106680</xdr:rowOff>
    </xdr:to>
    <xdr:graphicFrame macro="">
      <xdr:nvGraphicFramePr>
        <xdr:cNvPr id="13" name="Chart 12">
          <a:extLst>
            <a:ext uri="{FF2B5EF4-FFF2-40B4-BE49-F238E27FC236}">
              <a16:creationId xmlns:a16="http://schemas.microsoft.com/office/drawing/2014/main" id="{BB135567-000D-4019-8983-F8BE22972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541020</xdr:colOff>
      <xdr:row>3</xdr:row>
      <xdr:rowOff>137160</xdr:rowOff>
    </xdr:from>
    <xdr:to>
      <xdr:col>23</xdr:col>
      <xdr:colOff>60960</xdr:colOff>
      <xdr:row>12</xdr:row>
      <xdr:rowOff>160020</xdr:rowOff>
    </xdr:to>
    <xdr:graphicFrame macro="">
      <xdr:nvGraphicFramePr>
        <xdr:cNvPr id="14" name="Chart 13">
          <a:extLst>
            <a:ext uri="{FF2B5EF4-FFF2-40B4-BE49-F238E27FC236}">
              <a16:creationId xmlns:a16="http://schemas.microsoft.com/office/drawing/2014/main" id="{14CABA1C-4171-4130-B076-A50D7C92A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213360</xdr:colOff>
      <xdr:row>3</xdr:row>
      <xdr:rowOff>144780</xdr:rowOff>
    </xdr:from>
    <xdr:to>
      <xdr:col>11</xdr:col>
      <xdr:colOff>342900</xdr:colOff>
      <xdr:row>12</xdr:row>
      <xdr:rowOff>175260</xdr:rowOff>
    </xdr:to>
    <xdr:graphicFrame macro="">
      <xdr:nvGraphicFramePr>
        <xdr:cNvPr id="15" name="Chart 14">
          <a:extLst>
            <a:ext uri="{FF2B5EF4-FFF2-40B4-BE49-F238E27FC236}">
              <a16:creationId xmlns:a16="http://schemas.microsoft.com/office/drawing/2014/main" id="{400377FF-D2C6-4041-AAB1-2EF14C72F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434340</xdr:colOff>
      <xdr:row>13</xdr:row>
      <xdr:rowOff>7620</xdr:rowOff>
    </xdr:from>
    <xdr:to>
      <xdr:col>14</xdr:col>
      <xdr:colOff>541020</xdr:colOff>
      <xdr:row>27</xdr:row>
      <xdr:rowOff>121920</xdr:rowOff>
    </xdr:to>
    <xdr:graphicFrame macro="">
      <xdr:nvGraphicFramePr>
        <xdr:cNvPr id="16" name="Chart 15">
          <a:extLst>
            <a:ext uri="{FF2B5EF4-FFF2-40B4-BE49-F238E27FC236}">
              <a16:creationId xmlns:a16="http://schemas.microsoft.com/office/drawing/2014/main" id="{7AFC8ADB-B39E-4280-8765-49266B369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601980</xdr:colOff>
      <xdr:row>13</xdr:row>
      <xdr:rowOff>15240</xdr:rowOff>
    </xdr:from>
    <xdr:to>
      <xdr:col>18</xdr:col>
      <xdr:colOff>495300</xdr:colOff>
      <xdr:row>27</xdr:row>
      <xdr:rowOff>91440</xdr:rowOff>
    </xdr:to>
    <xdr:graphicFrame macro="">
      <xdr:nvGraphicFramePr>
        <xdr:cNvPr id="17" name="Chart 16">
          <a:extLst>
            <a:ext uri="{FF2B5EF4-FFF2-40B4-BE49-F238E27FC236}">
              <a16:creationId xmlns:a16="http://schemas.microsoft.com/office/drawing/2014/main" id="{D71CD549-1863-4B96-B0B1-CB4443D6C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541020</xdr:colOff>
      <xdr:row>13</xdr:row>
      <xdr:rowOff>15240</xdr:rowOff>
    </xdr:from>
    <xdr:to>
      <xdr:col>23</xdr:col>
      <xdr:colOff>38100</xdr:colOff>
      <xdr:row>27</xdr:row>
      <xdr:rowOff>68580</xdr:rowOff>
    </xdr:to>
    <xdr:graphicFrame macro="">
      <xdr:nvGraphicFramePr>
        <xdr:cNvPr id="18" name="Chart 17">
          <a:extLst>
            <a:ext uri="{FF2B5EF4-FFF2-40B4-BE49-F238E27FC236}">
              <a16:creationId xmlns:a16="http://schemas.microsoft.com/office/drawing/2014/main" id="{54703D6F-5DA5-4E11-B176-8116AA88A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31</xdr:row>
      <xdr:rowOff>129540</xdr:rowOff>
    </xdr:from>
    <xdr:to>
      <xdr:col>23</xdr:col>
      <xdr:colOff>220980</xdr:colOff>
      <xdr:row>62</xdr:row>
      <xdr:rowOff>15240</xdr:rowOff>
    </xdr:to>
    <xdr:pic>
      <xdr:nvPicPr>
        <xdr:cNvPr id="22" name="Picture 21">
          <a:extLst>
            <a:ext uri="{FF2B5EF4-FFF2-40B4-BE49-F238E27FC236}">
              <a16:creationId xmlns:a16="http://schemas.microsoft.com/office/drawing/2014/main" id="{1BE7204F-06FE-488E-B77C-05D5F71BC39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5798820"/>
          <a:ext cx="14241780" cy="5554980"/>
        </a:xfrm>
        <a:prstGeom prst="rect">
          <a:avLst/>
        </a:prstGeom>
        <a:ln>
          <a:noFill/>
        </a:ln>
        <a:effectLst>
          <a:glow>
            <a:schemeClr val="accent1"/>
          </a:glow>
          <a:outerShdw blurRad="1270000" dist="139700" dir="2700000" algn="tl" rotWithShape="0">
            <a:srgbClr val="333333">
              <a:alpha val="0"/>
            </a:srgbClr>
          </a:outerShdw>
          <a:reflection stA="0" endPos="0" dist="50800" dir="5400000" sy="-100000" algn="bl" rotWithShape="0"/>
          <a:softEdge rad="12700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Verma" refreshedDate="45948.850286689812" createdVersion="7" refreshedVersion="7" minRefreshableVersion="3" recordCount="19" xr:uid="{4C5AF75F-D933-47CD-950C-79B7615DC04F}">
  <cacheSource type="worksheet">
    <worksheetSource name="Table5"/>
  </cacheSource>
  <cacheFields count="2">
    <cacheField name="Year" numFmtId="0">
      <sharedItems containsMixedTypes="1" containsNumber="1" containsInteger="1" minValue="2008" maxValue="2025" count="19">
        <n v="2008"/>
        <n v="2009"/>
        <n v="2010"/>
        <n v="2011"/>
        <n v="2012"/>
        <n v="2013"/>
        <n v="2014"/>
        <n v="2015"/>
        <n v="2016"/>
        <n v="2017"/>
        <n v="2018"/>
        <n v="2019"/>
        <n v="2020"/>
        <n v="2021"/>
        <n v="2022"/>
        <n v="2023"/>
        <n v="2024"/>
        <n v="2025"/>
        <s v="Grand Total"/>
      </sharedItems>
    </cacheField>
    <cacheField name="Batting AVG" numFmtId="2">
      <sharedItems containsSemiMixedTypes="0" containsString="0" containsNumber="1" minValue="11.64" maxValue="81.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Verma" refreshedDate="45948.850286805558" createdVersion="7" refreshedVersion="7" minRefreshableVersion="3" recordCount="19" xr:uid="{99B1A073-FEA8-48A4-B652-BB5F23D770C4}">
  <cacheSource type="worksheet">
    <worksheetSource name="Table4"/>
  </cacheSource>
  <cacheFields count="2">
    <cacheField name="Year" numFmtId="0">
      <sharedItems containsMixedTypes="1" containsNumber="1" containsInteger="1" minValue="2008" maxValue="2025" count="19">
        <n v="2008"/>
        <n v="2009"/>
        <n v="2010"/>
        <n v="2011"/>
        <n v="2012"/>
        <n v="2013"/>
        <n v="2014"/>
        <n v="2015"/>
        <n v="2016"/>
        <n v="2017"/>
        <n v="2018"/>
        <n v="2019"/>
        <n v="2020"/>
        <n v="2021"/>
        <n v="2022"/>
        <n v="2023"/>
        <n v="2024"/>
        <n v="2025"/>
        <s v="Grand Total"/>
      </sharedItems>
    </cacheField>
    <cacheField name="Strike Rate" numFmtId="2">
      <sharedItems containsSemiMixedTypes="0" containsString="0" containsNumber="1" minValue="105.09554140127389" maxValue="154.6972860125260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Verma" refreshedDate="45948.850287152774" createdVersion="7" refreshedVersion="7" minRefreshableVersion="3" recordCount="12" xr:uid="{6FB1E592-5E07-4DA8-A15A-93A76FA0EC97}">
  <cacheSource type="worksheet">
    <worksheetSource ref="A1:M13" sheet="2008"/>
  </cacheSource>
  <cacheFields count="13">
    <cacheField name="S NO."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08" maxValue="2008"/>
    </cacheField>
    <cacheField name="Opponent" numFmtId="0">
      <sharedItems count="7">
        <s v="KKR"/>
        <s v="MI"/>
        <s v="RR"/>
        <s v="CSK"/>
        <s v="DD"/>
        <s v="DCH"/>
        <s v="KXIP"/>
      </sharedItems>
    </cacheField>
    <cacheField name="Runs" numFmtId="0">
      <sharedItems containsSemiMixedTypes="0" containsString="0" containsNumber="1" containsInteger="1" minValue="0" maxValue="38"/>
    </cacheField>
    <cacheField name="Balls" numFmtId="0">
      <sharedItems containsSemiMixedTypes="0" containsString="0" containsNumber="1" containsInteger="1" minValue="1" maxValue="36"/>
    </cacheField>
    <cacheField name="4s" numFmtId="0">
      <sharedItems containsSemiMixedTypes="0" containsString="0" containsNumber="1" containsInteger="1" minValue="0" maxValue="5"/>
    </cacheField>
    <cacheField name="6s" numFmtId="0">
      <sharedItems containsSemiMixedTypes="0" containsString="0" containsNumber="1" containsInteger="1" minValue="0" maxValue="2"/>
    </cacheField>
    <cacheField name="SR" numFmtId="0">
      <sharedItems containsSemiMixedTypes="0" containsString="0" containsNumber="1" minValue="0" maxValue="180"/>
    </cacheField>
    <cacheField name="Dot Balls" numFmtId="0">
      <sharedItems containsSemiMixedTypes="0" containsString="0" containsNumber="1" containsInteger="1" minValue="0" maxValue="31"/>
    </cacheField>
    <cacheField name="50s" numFmtId="0">
      <sharedItems containsSemiMixedTypes="0" containsString="0" containsNumber="1" containsInteger="1" minValue="0" maxValue="0"/>
    </cacheField>
    <cacheField name="100s" numFmtId="0">
      <sharedItems containsSemiMixedTypes="0" containsString="0" containsNumber="1" containsInteger="1" minValue="0" maxValue="0"/>
    </cacheField>
    <cacheField name="Out/Not Out" numFmtId="0">
      <sharedItems/>
    </cacheField>
    <cacheField name="Batting Average" numFmtId="0">
      <sharedItems containsSemiMixedTypes="0" containsString="0" containsNumber="1" minValue="1" maxValue="14.33"/>
    </cacheField>
  </cacheFields>
  <extLst>
    <ext xmlns:x14="http://schemas.microsoft.com/office/spreadsheetml/2009/9/main" uri="{725AE2AE-9491-48be-B2B4-4EB974FC3084}">
      <x14:pivotCacheDefinition pivotCacheId="108718498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Verma" refreshedDate="45948.850288888891" createdVersion="7" refreshedVersion="7" minRefreshableVersion="3" recordCount="259" xr:uid="{B5E00F8E-40D9-402D-873B-BB819B121E10}">
  <cacheSource type="worksheet">
    <worksheetSource ref="A1:M260" sheet="2008-2025"/>
  </cacheSource>
  <cacheFields count="13">
    <cacheField name="No of  Match" numFmtId="0">
      <sharedItems containsSemiMixedTypes="0" containsString="0" containsNumber="1" containsInteger="1" minValue="1" maxValue="259"/>
    </cacheField>
    <cacheField name="Year" numFmtId="0">
      <sharedItems containsSemiMixedTypes="0" containsString="0" containsNumber="1" containsInteger="1" minValue="2008" maxValue="2025" count="18">
        <n v="2008"/>
        <n v="2009"/>
        <n v="2010"/>
        <n v="2011"/>
        <n v="2012"/>
        <n v="2013"/>
        <n v="2014"/>
        <n v="2015"/>
        <n v="2016"/>
        <n v="2017"/>
        <n v="2018"/>
        <n v="2019"/>
        <n v="2020"/>
        <n v="2021"/>
        <n v="2022"/>
        <n v="2023"/>
        <n v="2024"/>
        <n v="2025"/>
      </sharedItems>
    </cacheField>
    <cacheField name="Opponent" numFmtId="0">
      <sharedItems count="15">
        <s v="KKR"/>
        <s v="MI"/>
        <s v="RR"/>
        <s v="CSK"/>
        <s v="DD"/>
        <s v="DCH"/>
        <s v="KXIP"/>
        <s v="KTK"/>
        <s v="PWI"/>
        <s v="SRH"/>
        <s v="RPSG"/>
        <s v="GL"/>
        <s v="LSG"/>
        <s v="GT"/>
        <s v="KXIP " u="1"/>
      </sharedItems>
    </cacheField>
    <cacheField name="Runs" numFmtId="0">
      <sharedItems containsSemiMixedTypes="0" containsString="0" containsNumber="1" containsInteger="1" minValue="0" maxValue="113"/>
    </cacheField>
    <cacheField name="Balls" numFmtId="0">
      <sharedItems containsSemiMixedTypes="0" containsString="0" containsNumber="1" containsInteger="1" minValue="1" maxValue="72"/>
    </cacheField>
    <cacheField name="4s" numFmtId="0">
      <sharedItems containsSemiMixedTypes="0" containsString="0" containsNumber="1" containsInteger="1" minValue="0" maxValue="13"/>
    </cacheField>
    <cacheField name="6s" numFmtId="0">
      <sharedItems containsSemiMixedTypes="0" containsString="0" containsNumber="1" containsInteger="1" minValue="0" maxValue="8"/>
    </cacheField>
    <cacheField name="SR" numFmtId="0">
      <sharedItems containsSemiMixedTypes="0" containsString="0" containsNumber="1" minValue="0" maxValue="357.14"/>
    </cacheField>
    <cacheField name="Dot Balls" numFmtId="0">
      <sharedItems containsSemiMixedTypes="0" containsString="0" containsNumber="1" containsInteger="1" minValue="0" maxValue="31"/>
    </cacheField>
    <cacheField name="50s" numFmtId="0">
      <sharedItems containsSemiMixedTypes="0" containsString="0" containsNumber="1" containsInteger="1" minValue="0" maxValue="1"/>
    </cacheField>
    <cacheField name="100s" numFmtId="0">
      <sharedItems containsSemiMixedTypes="0" containsString="0" containsNumber="1" containsInteger="1" minValue="0" maxValue="1"/>
    </cacheField>
    <cacheField name="Out/Not Out" numFmtId="0">
      <sharedItems count="2">
        <s v="Out"/>
        <s v="Not Out"/>
      </sharedItems>
    </cacheField>
    <cacheField name="Batting Average" numFmtId="0">
      <sharedItems containsSemiMixedTypes="0" containsString="0" containsNumber="1" minValue="0" maxValue="91.9"/>
    </cacheField>
  </cacheFields>
  <extLst>
    <ext xmlns:x14="http://schemas.microsoft.com/office/spreadsheetml/2009/9/main" uri="{725AE2AE-9491-48be-B2B4-4EB974FC3084}">
      <x14:pivotCacheDefinition pivotCacheId="786323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11.64"/>
  </r>
  <r>
    <x v="1"/>
    <n v="22.66"/>
  </r>
  <r>
    <x v="2"/>
    <n v="32.22"/>
  </r>
  <r>
    <x v="3"/>
    <n v="55.56"/>
  </r>
  <r>
    <x v="4"/>
    <n v="28"/>
  </r>
  <r>
    <x v="5"/>
    <n v="45.29"/>
  </r>
  <r>
    <x v="6"/>
    <n v="27.62"/>
  </r>
  <r>
    <x v="7"/>
    <n v="38"/>
  </r>
  <r>
    <x v="8"/>
    <n v="81.08"/>
  </r>
  <r>
    <x v="9"/>
    <n v="30.8"/>
  </r>
  <r>
    <x v="10"/>
    <n v="48.18"/>
  </r>
  <r>
    <x v="11"/>
    <n v="33.14"/>
  </r>
  <r>
    <x v="12"/>
    <n v="42.36"/>
  </r>
  <r>
    <x v="13"/>
    <n v="28.92"/>
  </r>
  <r>
    <x v="14"/>
    <n v="22.73"/>
  </r>
  <r>
    <x v="15"/>
    <n v="53.25"/>
  </r>
  <r>
    <x v="16"/>
    <n v="61.75"/>
  </r>
  <r>
    <x v="17"/>
    <n v="54.75"/>
  </r>
  <r>
    <x v="18"/>
    <n v="39.3681818181818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105.09554140127389"/>
  </r>
  <r>
    <x v="1"/>
    <n v="112.32876712328768"/>
  </r>
  <r>
    <x v="2"/>
    <n v="144.81132075471697"/>
  </r>
  <r>
    <x v="3"/>
    <n v="121.08695652173913"/>
  </r>
  <r>
    <x v="4"/>
    <n v="110.97560975609757"/>
  </r>
  <r>
    <x v="5"/>
    <n v="138.73085339168489"/>
  </r>
  <r>
    <x v="6"/>
    <n v="122.10884353741496"/>
  </r>
  <r>
    <x v="7"/>
    <n v="130.82901554404145"/>
  </r>
  <r>
    <x v="8"/>
    <n v="152.03125"/>
  </r>
  <r>
    <x v="9"/>
    <n v="122.22222222222223"/>
  </r>
  <r>
    <x v="10"/>
    <n v="139.10761154855641"/>
  </r>
  <r>
    <x v="11"/>
    <n v="141.46341463414635"/>
  </r>
  <r>
    <x v="12"/>
    <n v="121.35416666666667"/>
  </r>
  <r>
    <x v="13"/>
    <n v="137.28813559322032"/>
  </r>
  <r>
    <x v="14"/>
    <n v="115.98639455782313"/>
  </r>
  <r>
    <x v="15"/>
    <n v="139.8249452954048"/>
  </r>
  <r>
    <x v="16"/>
    <n v="154.69728601252609"/>
  </r>
  <r>
    <x v="17"/>
    <n v="144.7136563876652"/>
  </r>
  <r>
    <x v="18"/>
    <n v="133.7193144974525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2008"/>
    <x v="0"/>
    <n v="1"/>
    <n v="5"/>
    <n v="0"/>
    <n v="0"/>
    <n v="20"/>
    <n v="4"/>
    <n v="0"/>
    <n v="0"/>
    <s v="Out"/>
    <n v="1"/>
  </r>
  <r>
    <x v="1"/>
    <n v="2008"/>
    <x v="1"/>
    <n v="23"/>
    <n v="14"/>
    <n v="3"/>
    <n v="1"/>
    <n v="164.29"/>
    <n v="10"/>
    <n v="0"/>
    <n v="0"/>
    <s v="Out"/>
    <n v="12"/>
  </r>
  <r>
    <x v="2"/>
    <n v="2008"/>
    <x v="2"/>
    <n v="13"/>
    <n v="14"/>
    <n v="0"/>
    <n v="1"/>
    <n v="92.86"/>
    <n v="13"/>
    <n v="0"/>
    <n v="0"/>
    <s v="Out"/>
    <n v="12.33"/>
  </r>
  <r>
    <x v="3"/>
    <n v="2008"/>
    <x v="3"/>
    <n v="12"/>
    <n v="7"/>
    <n v="2"/>
    <n v="0"/>
    <n v="171.43"/>
    <n v="5"/>
    <n v="0"/>
    <n v="0"/>
    <s v="Out"/>
    <n v="12.25"/>
  </r>
  <r>
    <x v="4"/>
    <n v="2008"/>
    <x v="4"/>
    <n v="1"/>
    <n v="1"/>
    <n v="0"/>
    <n v="0"/>
    <n v="100"/>
    <n v="0"/>
    <n v="0"/>
    <n v="0"/>
    <s v="Not Out"/>
    <n v="12.4"/>
  </r>
  <r>
    <x v="5"/>
    <n v="2008"/>
    <x v="5"/>
    <n v="38"/>
    <n v="29"/>
    <n v="1"/>
    <n v="2"/>
    <n v="131.03"/>
    <n v="26"/>
    <n v="0"/>
    <n v="0"/>
    <s v="Out"/>
    <n v="14.33"/>
  </r>
  <r>
    <x v="6"/>
    <n v="2008"/>
    <x v="6"/>
    <n v="34"/>
    <n v="36"/>
    <n v="5"/>
    <n v="0"/>
    <n v="94.44"/>
    <n v="31"/>
    <n v="0"/>
    <n v="0"/>
    <s v="Out"/>
    <n v="13.33"/>
  </r>
  <r>
    <x v="7"/>
    <n v="2008"/>
    <x v="6"/>
    <n v="21"/>
    <n v="22"/>
    <n v="4"/>
    <n v="0"/>
    <n v="95.45"/>
    <n v="18"/>
    <n v="0"/>
    <n v="0"/>
    <s v="Out"/>
    <n v="12.5"/>
  </r>
  <r>
    <x v="8"/>
    <n v="2008"/>
    <x v="2"/>
    <n v="3"/>
    <n v="7"/>
    <n v="0"/>
    <n v="0"/>
    <n v="42.86"/>
    <n v="7"/>
    <n v="0"/>
    <n v="0"/>
    <s v="Out"/>
    <n v="11.75"/>
  </r>
  <r>
    <x v="9"/>
    <n v="2008"/>
    <x v="3"/>
    <n v="10"/>
    <n v="16"/>
    <n v="1"/>
    <n v="0"/>
    <n v="62.5"/>
    <n v="15"/>
    <n v="0"/>
    <n v="0"/>
    <s v="Out"/>
    <n v="11.64"/>
  </r>
  <r>
    <x v="10"/>
    <n v="2008"/>
    <x v="5"/>
    <n v="9"/>
    <n v="5"/>
    <n v="2"/>
    <n v="0"/>
    <n v="180"/>
    <n v="3"/>
    <n v="0"/>
    <n v="0"/>
    <s v="Out"/>
    <n v="11.8"/>
  </r>
  <r>
    <x v="11"/>
    <n v="2008"/>
    <x v="1"/>
    <n v="0"/>
    <n v="1"/>
    <n v="0"/>
    <n v="0"/>
    <n v="0"/>
    <n v="1"/>
    <n v="0"/>
    <n v="0"/>
    <s v="Out"/>
    <n v="11.6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n v="1"/>
    <x v="0"/>
    <x v="0"/>
    <n v="1"/>
    <n v="5"/>
    <n v="0"/>
    <n v="0"/>
    <n v="20"/>
    <n v="4"/>
    <n v="0"/>
    <n v="0"/>
    <x v="0"/>
    <n v="1"/>
  </r>
  <r>
    <n v="2"/>
    <x v="0"/>
    <x v="1"/>
    <n v="23"/>
    <n v="14"/>
    <n v="3"/>
    <n v="1"/>
    <n v="164.29"/>
    <n v="10"/>
    <n v="0"/>
    <n v="0"/>
    <x v="0"/>
    <n v="12"/>
  </r>
  <r>
    <n v="3"/>
    <x v="0"/>
    <x v="2"/>
    <n v="13"/>
    <n v="14"/>
    <n v="0"/>
    <n v="1"/>
    <n v="92.86"/>
    <n v="13"/>
    <n v="0"/>
    <n v="0"/>
    <x v="0"/>
    <n v="12.33"/>
  </r>
  <r>
    <n v="4"/>
    <x v="0"/>
    <x v="3"/>
    <n v="12"/>
    <n v="7"/>
    <n v="2"/>
    <n v="0"/>
    <n v="171.43"/>
    <n v="5"/>
    <n v="0"/>
    <n v="0"/>
    <x v="0"/>
    <n v="12.25"/>
  </r>
  <r>
    <n v="5"/>
    <x v="0"/>
    <x v="4"/>
    <n v="1"/>
    <n v="1"/>
    <n v="0"/>
    <n v="0"/>
    <n v="100"/>
    <n v="0"/>
    <n v="0"/>
    <n v="0"/>
    <x v="1"/>
    <n v="12.4"/>
  </r>
  <r>
    <n v="6"/>
    <x v="0"/>
    <x v="5"/>
    <n v="38"/>
    <n v="29"/>
    <n v="1"/>
    <n v="2"/>
    <n v="131.03"/>
    <n v="26"/>
    <n v="0"/>
    <n v="0"/>
    <x v="0"/>
    <n v="14.33"/>
  </r>
  <r>
    <n v="7"/>
    <x v="0"/>
    <x v="6"/>
    <n v="34"/>
    <n v="36"/>
    <n v="5"/>
    <n v="0"/>
    <n v="94.44"/>
    <n v="31"/>
    <n v="0"/>
    <n v="0"/>
    <x v="0"/>
    <n v="13.33"/>
  </r>
  <r>
    <n v="8"/>
    <x v="0"/>
    <x v="6"/>
    <n v="21"/>
    <n v="22"/>
    <n v="4"/>
    <n v="0"/>
    <n v="95.45"/>
    <n v="18"/>
    <n v="0"/>
    <n v="0"/>
    <x v="0"/>
    <n v="12.5"/>
  </r>
  <r>
    <n v="9"/>
    <x v="0"/>
    <x v="2"/>
    <n v="3"/>
    <n v="7"/>
    <n v="0"/>
    <n v="0"/>
    <n v="42.86"/>
    <n v="7"/>
    <n v="0"/>
    <n v="0"/>
    <x v="0"/>
    <n v="11.75"/>
  </r>
  <r>
    <n v="10"/>
    <x v="0"/>
    <x v="3"/>
    <n v="10"/>
    <n v="16"/>
    <n v="1"/>
    <n v="0"/>
    <n v="62.5"/>
    <n v="15"/>
    <n v="0"/>
    <n v="0"/>
    <x v="0"/>
    <n v="11.64"/>
  </r>
  <r>
    <n v="11"/>
    <x v="0"/>
    <x v="5"/>
    <n v="9"/>
    <n v="5"/>
    <n v="2"/>
    <n v="0"/>
    <n v="180"/>
    <n v="3"/>
    <n v="0"/>
    <n v="0"/>
    <x v="0"/>
    <n v="11.8"/>
  </r>
  <r>
    <n v="12"/>
    <x v="0"/>
    <x v="1"/>
    <n v="0"/>
    <n v="1"/>
    <n v="0"/>
    <n v="0"/>
    <n v="0"/>
    <n v="1"/>
    <n v="0"/>
    <n v="0"/>
    <x v="0"/>
    <n v="11.64"/>
  </r>
  <r>
    <n v="13"/>
    <x v="1"/>
    <x v="2"/>
    <n v="3"/>
    <n v="8"/>
    <n v="0"/>
    <n v="0"/>
    <n v="37.5"/>
    <n v="5"/>
    <n v="0"/>
    <n v="0"/>
    <x v="0"/>
    <n v="3"/>
  </r>
  <r>
    <n v="14"/>
    <x v="1"/>
    <x v="3"/>
    <n v="11"/>
    <n v="13"/>
    <n v="0"/>
    <n v="1"/>
    <n v="84.62"/>
    <n v="7"/>
    <n v="0"/>
    <n v="0"/>
    <x v="0"/>
    <n v="7"/>
  </r>
  <r>
    <n v="15"/>
    <x v="1"/>
    <x v="5"/>
    <n v="50"/>
    <n v="32"/>
    <n v="7"/>
    <n v="0"/>
    <n v="156.25"/>
    <n v="10"/>
    <n v="1"/>
    <n v="0"/>
    <x v="0"/>
    <n v="21.33"/>
  </r>
  <r>
    <n v="16"/>
    <x v="1"/>
    <x v="6"/>
    <n v="2"/>
    <n v="3"/>
    <n v="0"/>
    <n v="0"/>
    <n v="66.77"/>
    <n v="0"/>
    <n v="0"/>
    <n v="0"/>
    <x v="0"/>
    <n v="16.5"/>
  </r>
  <r>
    <n v="17"/>
    <x v="1"/>
    <x v="4"/>
    <n v="22"/>
    <n v="24"/>
    <n v="1"/>
    <n v="0"/>
    <n v="91.67"/>
    <n v="7"/>
    <n v="0"/>
    <n v="0"/>
    <x v="0"/>
    <n v="17.600000000000001"/>
  </r>
  <r>
    <n v="18"/>
    <x v="1"/>
    <x v="0"/>
    <n v="19"/>
    <n v="12"/>
    <n v="1"/>
    <n v="1"/>
    <n v="158.33000000000001"/>
    <n v="3"/>
    <n v="0"/>
    <n v="0"/>
    <x v="0"/>
    <n v="17.829999999999998"/>
  </r>
  <r>
    <n v="19"/>
    <x v="1"/>
    <x v="6"/>
    <n v="16"/>
    <n v="14"/>
    <n v="2"/>
    <n v="0"/>
    <n v="114.29"/>
    <n v="5"/>
    <n v="0"/>
    <n v="0"/>
    <x v="0"/>
    <n v="17.57"/>
  </r>
  <r>
    <n v="20"/>
    <x v="1"/>
    <x v="2"/>
    <n v="15"/>
    <n v="22"/>
    <n v="1"/>
    <n v="0"/>
    <n v="68.180000000000007"/>
    <n v="12"/>
    <n v="0"/>
    <n v="0"/>
    <x v="0"/>
    <n v="17.25"/>
  </r>
  <r>
    <n v="21"/>
    <x v="1"/>
    <x v="1"/>
    <n v="20"/>
    <n v="22"/>
    <n v="4"/>
    <n v="0"/>
    <n v="90.91"/>
    <n v="13"/>
    <n v="0"/>
    <n v="0"/>
    <x v="0"/>
    <n v="17.559999999999999"/>
  </r>
  <r>
    <n v="22"/>
    <x v="1"/>
    <x v="3"/>
    <n v="38"/>
    <n v="35"/>
    <n v="4"/>
    <n v="2"/>
    <n v="108.57"/>
    <n v="20"/>
    <n v="0"/>
    <n v="0"/>
    <x v="0"/>
    <n v="19.600000000000001"/>
  </r>
  <r>
    <n v="23"/>
    <x v="1"/>
    <x v="5"/>
    <n v="19"/>
    <n v="9"/>
    <n v="0"/>
    <n v="2"/>
    <n v="211.11"/>
    <n v="2"/>
    <n v="0"/>
    <n v="0"/>
    <x v="1"/>
    <n v="21.5"/>
  </r>
  <r>
    <n v="24"/>
    <x v="1"/>
    <x v="3"/>
    <n v="24"/>
    <n v="17"/>
    <n v="1"/>
    <n v="2"/>
    <n v="141.18"/>
    <n v="8"/>
    <n v="0"/>
    <n v="0"/>
    <x v="1"/>
    <n v="23.9"/>
  </r>
  <r>
    <n v="25"/>
    <x v="1"/>
    <x v="5"/>
    <n v="7"/>
    <n v="8"/>
    <n v="1"/>
    <n v="0"/>
    <n v="87.5"/>
    <n v="4"/>
    <n v="0"/>
    <n v="0"/>
    <x v="0"/>
    <n v="22.66"/>
  </r>
  <r>
    <n v="26"/>
    <x v="2"/>
    <x v="0"/>
    <n v="2"/>
    <n v="5"/>
    <n v="0"/>
    <n v="0"/>
    <n v="40"/>
    <n v="3"/>
    <n v="0"/>
    <n v="0"/>
    <x v="0"/>
    <n v="2"/>
  </r>
  <r>
    <n v="27"/>
    <x v="2"/>
    <x v="6"/>
    <n v="16"/>
    <n v="12"/>
    <n v="1"/>
    <n v="1"/>
    <n v="133.33000000000001"/>
    <n v="4"/>
    <n v="0"/>
    <n v="0"/>
    <x v="1"/>
    <n v="18"/>
  </r>
  <r>
    <n v="28"/>
    <x v="2"/>
    <x v="1"/>
    <n v="17"/>
    <n v="12"/>
    <n v="0"/>
    <n v="2"/>
    <n v="141.66999999999999"/>
    <n v="5"/>
    <n v="0"/>
    <n v="0"/>
    <x v="0"/>
    <n v="17.5"/>
  </r>
  <r>
    <n v="29"/>
    <x v="2"/>
    <x v="3"/>
    <n v="24"/>
    <n v="16"/>
    <n v="2"/>
    <n v="1"/>
    <n v="150"/>
    <n v="3"/>
    <n v="0"/>
    <n v="0"/>
    <x v="0"/>
    <n v="19.670000000000002"/>
  </r>
  <r>
    <n v="30"/>
    <x v="2"/>
    <x v="4"/>
    <n v="38"/>
    <n v="23"/>
    <n v="4"/>
    <n v="1"/>
    <n v="165.22"/>
    <n v="2"/>
    <n v="0"/>
    <n v="0"/>
    <x v="1"/>
    <n v="32.33"/>
  </r>
  <r>
    <n v="31"/>
    <x v="2"/>
    <x v="3"/>
    <n v="34"/>
    <n v="24"/>
    <n v="3"/>
    <n v="1"/>
    <n v="141.66999999999999"/>
    <n v="4"/>
    <n v="0"/>
    <n v="0"/>
    <x v="0"/>
    <n v="32.75"/>
  </r>
  <r>
    <n v="32"/>
    <x v="2"/>
    <x v="6"/>
    <n v="42"/>
    <n v="26"/>
    <n v="4"/>
    <n v="1"/>
    <n v="161.54"/>
    <n v="1"/>
    <n v="0"/>
    <n v="0"/>
    <x v="0"/>
    <n v="34.6"/>
  </r>
  <r>
    <n v="33"/>
    <x v="2"/>
    <x v="4"/>
    <n v="13"/>
    <n v="11"/>
    <n v="1"/>
    <n v="0"/>
    <n v="118.18"/>
    <n v="1"/>
    <n v="0"/>
    <n v="0"/>
    <x v="0"/>
    <n v="31"/>
  </r>
  <r>
    <n v="34"/>
    <x v="2"/>
    <x v="5"/>
    <n v="58"/>
    <n v="35"/>
    <n v="4"/>
    <n v="4"/>
    <n v="165.71"/>
    <n v="9"/>
    <n v="0"/>
    <n v="0"/>
    <x v="0"/>
    <n v="34.86"/>
  </r>
  <r>
    <n v="35"/>
    <x v="2"/>
    <x v="5"/>
    <n v="3"/>
    <n v="4"/>
    <n v="0"/>
    <n v="0"/>
    <n v="75"/>
    <n v="1"/>
    <n v="0"/>
    <n v="0"/>
    <x v="0"/>
    <n v="34.86"/>
  </r>
  <r>
    <n v="36"/>
    <x v="2"/>
    <x v="2"/>
    <n v="14"/>
    <n v="13"/>
    <n v="2"/>
    <n v="0"/>
    <n v="110"/>
    <n v="6"/>
    <n v="0"/>
    <n v="0"/>
    <x v="0"/>
    <n v="34.86"/>
  </r>
  <r>
    <n v="37"/>
    <x v="2"/>
    <x v="1"/>
    <n v="37"/>
    <n v="24"/>
    <n v="4"/>
    <n v="1"/>
    <n v="154.16999999999999"/>
    <n v="4"/>
    <n v="0"/>
    <n v="0"/>
    <x v="0"/>
    <n v="35.130000000000003"/>
  </r>
  <r>
    <n v="38"/>
    <x v="2"/>
    <x v="1"/>
    <n v="9"/>
    <n v="7"/>
    <n v="1"/>
    <n v="0"/>
    <n v="128.57"/>
    <n v="1"/>
    <n v="0"/>
    <n v="0"/>
    <x v="0"/>
    <n v="32.22"/>
  </r>
  <r>
    <n v="39"/>
    <x v="3"/>
    <x v="7"/>
    <n v="23"/>
    <n v="18"/>
    <n v="4"/>
    <n v="0"/>
    <n v="127.78"/>
    <n v="7"/>
    <n v="0"/>
    <n v="0"/>
    <x v="0"/>
    <n v="23"/>
  </r>
  <r>
    <n v="40"/>
    <x v="3"/>
    <x v="1"/>
    <n v="12"/>
    <n v="19"/>
    <n v="2"/>
    <n v="0"/>
    <n v="63.16"/>
    <n v="13"/>
    <n v="0"/>
    <n v="0"/>
    <x v="0"/>
    <n v="17.5"/>
  </r>
  <r>
    <n v="41"/>
    <x v="3"/>
    <x v="5"/>
    <n v="71"/>
    <n v="51"/>
    <n v="5"/>
    <n v="3"/>
    <n v="139.22"/>
    <n v="10"/>
    <n v="1"/>
    <n v="0"/>
    <x v="0"/>
    <n v="35.33"/>
  </r>
  <r>
    <n v="42"/>
    <x v="3"/>
    <x v="3"/>
    <n v="35"/>
    <n v="28"/>
    <n v="4"/>
    <n v="1"/>
    <n v="125"/>
    <n v="11"/>
    <n v="0"/>
    <n v="0"/>
    <x v="0"/>
    <n v="35.25"/>
  </r>
  <r>
    <n v="43"/>
    <x v="3"/>
    <x v="0"/>
    <n v="30"/>
    <n v="23"/>
    <n v="3"/>
    <n v="1"/>
    <n v="130.43"/>
    <n v="8"/>
    <n v="0"/>
    <n v="0"/>
    <x v="1"/>
    <n v="42.75"/>
  </r>
  <r>
    <n v="44"/>
    <x v="3"/>
    <x v="4"/>
    <n v="56"/>
    <n v="38"/>
    <n v="8"/>
    <n v="2"/>
    <n v="147.36000000000001"/>
    <n v="18"/>
    <n v="1"/>
    <n v="0"/>
    <x v="0"/>
    <n v="45.4"/>
  </r>
  <r>
    <n v="45"/>
    <x v="3"/>
    <x v="8"/>
    <n v="67"/>
    <n v="42"/>
    <n v="4"/>
    <n v="4"/>
    <n v="159.52000000000001"/>
    <n v="11"/>
    <n v="1"/>
    <n v="0"/>
    <x v="0"/>
    <n v="49"/>
  </r>
  <r>
    <n v="46"/>
    <x v="3"/>
    <x v="6"/>
    <n v="27"/>
    <n v="31"/>
    <n v="4"/>
    <n v="0"/>
    <n v="87.1"/>
    <n v="16"/>
    <n v="0"/>
    <n v="0"/>
    <x v="0"/>
    <n v="45.86"/>
  </r>
  <r>
    <n v="47"/>
    <x v="3"/>
    <x v="7"/>
    <n v="27"/>
    <n v="33"/>
    <n v="3"/>
    <n v="0"/>
    <n v="81.819999999999993"/>
    <n v="15"/>
    <n v="0"/>
    <n v="0"/>
    <x v="1"/>
    <n v="49.71"/>
  </r>
  <r>
    <n v="48"/>
    <x v="3"/>
    <x v="2"/>
    <n v="39"/>
    <n v="34"/>
    <n v="3"/>
    <n v="0"/>
    <n v="114.71"/>
    <n v="4"/>
    <n v="0"/>
    <n v="0"/>
    <x v="1"/>
    <n v="55.29"/>
  </r>
  <r>
    <n v="49"/>
    <x v="3"/>
    <x v="0"/>
    <n v="15"/>
    <n v="15"/>
    <n v="1"/>
    <n v="0"/>
    <n v="100"/>
    <n v="3"/>
    <n v="0"/>
    <n v="0"/>
    <x v="0"/>
    <n v="55.56"/>
  </r>
  <r>
    <n v="50"/>
    <x v="3"/>
    <x v="6"/>
    <n v="11"/>
    <n v="11"/>
    <n v="2"/>
    <n v="0"/>
    <n v="100"/>
    <n v="6"/>
    <n v="0"/>
    <n v="0"/>
    <x v="0"/>
    <n v="51.1"/>
  </r>
  <r>
    <n v="51"/>
    <x v="3"/>
    <x v="3"/>
    <n v="31"/>
    <n v="29"/>
    <n v="5"/>
    <n v="0"/>
    <n v="106.9"/>
    <n v="13"/>
    <n v="0"/>
    <n v="0"/>
    <x v="0"/>
    <n v="51.73"/>
  </r>
  <r>
    <n v="52"/>
    <x v="3"/>
    <x v="3"/>
    <n v="70"/>
    <n v="44"/>
    <n v="5"/>
    <n v="3"/>
    <n v="159.09"/>
    <n v="4"/>
    <n v="1"/>
    <n v="0"/>
    <x v="1"/>
    <n v="65.290000000000006"/>
  </r>
  <r>
    <n v="53"/>
    <x v="3"/>
    <x v="1"/>
    <n v="8"/>
    <n v="12"/>
    <n v="0"/>
    <n v="0"/>
    <n v="66.67"/>
    <n v="4"/>
    <n v="0"/>
    <n v="0"/>
    <x v="0"/>
    <n v="58.13"/>
  </r>
  <r>
    <n v="54"/>
    <x v="3"/>
    <x v="3"/>
    <n v="35"/>
    <n v="32"/>
    <n v="1"/>
    <n v="1"/>
    <n v="109.38"/>
    <n v="6"/>
    <n v="0"/>
    <n v="0"/>
    <x v="0"/>
    <n v="55.56"/>
  </r>
  <r>
    <n v="55"/>
    <x v="4"/>
    <x v="4"/>
    <n v="8"/>
    <n v="8"/>
    <n v="1"/>
    <n v="0"/>
    <n v="100"/>
    <n v="4"/>
    <n v="0"/>
    <n v="0"/>
    <x v="0"/>
    <n v="28"/>
  </r>
  <r>
    <n v="56"/>
    <x v="4"/>
    <x v="0"/>
    <n v="6"/>
    <n v="14"/>
    <n v="0"/>
    <n v="0"/>
    <n v="42.85"/>
    <n v="9"/>
    <n v="0"/>
    <n v="0"/>
    <x v="0"/>
    <n v="28"/>
  </r>
  <r>
    <n v="57"/>
    <x v="4"/>
    <x v="3"/>
    <n v="57"/>
    <n v="46"/>
    <n v="5"/>
    <n v="2"/>
    <n v="123.91"/>
    <n v="17"/>
    <n v="1"/>
    <n v="0"/>
    <x v="0"/>
    <n v="28"/>
  </r>
  <r>
    <n v="58"/>
    <x v="4"/>
    <x v="2"/>
    <n v="22"/>
    <n v="18"/>
    <n v="1"/>
    <n v="0"/>
    <n v="122.22"/>
    <n v="3"/>
    <n v="0"/>
    <n v="0"/>
    <x v="0"/>
    <n v="28"/>
  </r>
  <r>
    <n v="59"/>
    <x v="4"/>
    <x v="8"/>
    <n v="16"/>
    <n v="19"/>
    <n v="1"/>
    <n v="0"/>
    <n v="84.21"/>
    <n v="7"/>
    <n v="0"/>
    <n v="0"/>
    <x v="0"/>
    <n v="28"/>
  </r>
  <r>
    <n v="60"/>
    <x v="4"/>
    <x v="6"/>
    <n v="4"/>
    <n v="4"/>
    <n v="1"/>
    <n v="0"/>
    <n v="100"/>
    <n v="2"/>
    <n v="0"/>
    <n v="0"/>
    <x v="0"/>
    <n v="28"/>
  </r>
  <r>
    <n v="61"/>
    <x v="4"/>
    <x v="2"/>
    <n v="22"/>
    <n v="18"/>
    <n v="0"/>
    <n v="0"/>
    <n v="122.22"/>
    <n v="1"/>
    <n v="0"/>
    <n v="0"/>
    <x v="0"/>
    <n v="28"/>
  </r>
  <r>
    <n v="62"/>
    <x v="4"/>
    <x v="0"/>
    <n v="18"/>
    <n v="19"/>
    <n v="3"/>
    <n v="0"/>
    <n v="94.74"/>
    <n v="9"/>
    <n v="0"/>
    <n v="0"/>
    <x v="0"/>
    <n v="28"/>
  </r>
  <r>
    <n v="63"/>
    <x v="4"/>
    <x v="6"/>
    <n v="45"/>
    <n v="42"/>
    <n v="3"/>
    <n v="2"/>
    <n v="107.14"/>
    <n v="11"/>
    <n v="0"/>
    <n v="0"/>
    <x v="0"/>
    <n v="28"/>
  </r>
  <r>
    <n v="64"/>
    <x v="4"/>
    <x v="5"/>
    <n v="9"/>
    <n v="9"/>
    <n v="1"/>
    <n v="0"/>
    <n v="100"/>
    <n v="3"/>
    <n v="0"/>
    <n v="0"/>
    <x v="0"/>
    <n v="28"/>
  </r>
  <r>
    <n v="65"/>
    <x v="4"/>
    <x v="1"/>
    <n v="36"/>
    <n v="25"/>
    <n v="1"/>
    <n v="2"/>
    <n v="144"/>
    <n v="3"/>
    <n v="0"/>
    <n v="0"/>
    <x v="1"/>
    <n v="28"/>
  </r>
  <r>
    <n v="66"/>
    <x v="4"/>
    <x v="8"/>
    <n v="9"/>
    <n v="12"/>
    <n v="1"/>
    <n v="0"/>
    <n v="75"/>
    <n v="5"/>
    <n v="0"/>
    <n v="0"/>
    <x v="0"/>
    <n v="28"/>
  </r>
  <r>
    <n v="67"/>
    <x v="4"/>
    <x v="1"/>
    <n v="3"/>
    <n v="1"/>
    <n v="0"/>
    <n v="0"/>
    <n v="300"/>
    <n v="0"/>
    <n v="0"/>
    <n v="0"/>
    <x v="0"/>
    <n v="28"/>
  </r>
  <r>
    <n v="68"/>
    <x v="4"/>
    <x v="4"/>
    <n v="67"/>
    <n v="53"/>
    <n v="9"/>
    <n v="1"/>
    <n v="137.74"/>
    <n v="22"/>
    <n v="1"/>
    <n v="0"/>
    <x v="1"/>
    <n v="28"/>
  </r>
  <r>
    <n v="69"/>
    <x v="4"/>
    <x v="5"/>
    <n v="42"/>
    <n v="40"/>
    <n v="2"/>
    <n v="2"/>
    <n v="105"/>
    <n v="15"/>
    <n v="0"/>
    <n v="0"/>
    <x v="0"/>
    <n v="28"/>
  </r>
  <r>
    <n v="70"/>
    <x v="5"/>
    <x v="1"/>
    <n v="24"/>
    <n v="14"/>
    <n v="4"/>
    <n v="1"/>
    <n v="171.43"/>
    <n v="4"/>
    <n v="0"/>
    <n v="0"/>
    <x v="0"/>
    <n v="24"/>
  </r>
  <r>
    <n v="71"/>
    <x v="5"/>
    <x v="9"/>
    <n v="46"/>
    <n v="44"/>
    <n v="5"/>
    <n v="1"/>
    <n v="104.55"/>
    <n v="22"/>
    <n v="0"/>
    <n v="0"/>
    <x v="0"/>
    <n v="35"/>
  </r>
  <r>
    <n v="72"/>
    <x v="5"/>
    <x v="9"/>
    <n v="93"/>
    <n v="47"/>
    <n v="11"/>
    <n v="4"/>
    <n v="197.87"/>
    <n v="10"/>
    <n v="1"/>
    <n v="0"/>
    <x v="1"/>
    <n v="81.5"/>
  </r>
  <r>
    <n v="73"/>
    <x v="5"/>
    <x v="0"/>
    <n v="35"/>
    <n v="27"/>
    <n v="4"/>
    <n v="2"/>
    <n v="129.63"/>
    <n v="17"/>
    <n v="0"/>
    <n v="0"/>
    <x v="0"/>
    <n v="66"/>
  </r>
  <r>
    <n v="74"/>
    <x v="5"/>
    <x v="3"/>
    <n v="58"/>
    <n v="47"/>
    <n v="2"/>
    <n v="2"/>
    <n v="123.4"/>
    <n v="5"/>
    <n v="1"/>
    <n v="0"/>
    <x v="0"/>
    <n v="64"/>
  </r>
  <r>
    <n v="75"/>
    <x v="5"/>
    <x v="4"/>
    <n v="65"/>
    <n v="50"/>
    <n v="7"/>
    <n v="1"/>
    <n v="130"/>
    <n v="15"/>
    <n v="1"/>
    <n v="0"/>
    <x v="0"/>
    <n v="64.2"/>
  </r>
  <r>
    <n v="76"/>
    <x v="5"/>
    <x v="2"/>
    <n v="1"/>
    <n v="4"/>
    <n v="0"/>
    <n v="0"/>
    <n v="25"/>
    <n v="2"/>
    <n v="0"/>
    <n v="0"/>
    <x v="0"/>
    <n v="53.67"/>
  </r>
  <r>
    <n v="77"/>
    <x v="5"/>
    <x v="8"/>
    <n v="11"/>
    <n v="9"/>
    <n v="0"/>
    <n v="1"/>
    <n v="122.22"/>
    <n v="2"/>
    <n v="0"/>
    <n v="0"/>
    <x v="0"/>
    <n v="47.57"/>
  </r>
  <r>
    <n v="78"/>
    <x v="5"/>
    <x v="1"/>
    <n v="1"/>
    <n v="4"/>
    <n v="0"/>
    <n v="0"/>
    <n v="25"/>
    <n v="2"/>
    <n v="0"/>
    <n v="0"/>
    <x v="0"/>
    <n v="41.75"/>
  </r>
  <r>
    <n v="79"/>
    <x v="5"/>
    <x v="2"/>
    <n v="32"/>
    <n v="35"/>
    <n v="3"/>
    <n v="0"/>
    <n v="91.33"/>
    <n v="13"/>
    <n v="0"/>
    <n v="0"/>
    <x v="0"/>
    <n v="40.67"/>
  </r>
  <r>
    <n v="80"/>
    <x v="5"/>
    <x v="8"/>
    <n v="25"/>
    <n v="18"/>
    <n v="3"/>
    <n v="0"/>
    <n v="138.88999999999999"/>
    <n v="4"/>
    <n v="0"/>
    <n v="0"/>
    <x v="0"/>
    <n v="39.1"/>
  </r>
  <r>
    <n v="81"/>
    <x v="5"/>
    <x v="6"/>
    <n v="14"/>
    <n v="14"/>
    <n v="1"/>
    <n v="0"/>
    <n v="100"/>
    <n v="4"/>
    <n v="0"/>
    <n v="0"/>
    <x v="0"/>
    <n v="36.82"/>
  </r>
  <r>
    <n v="82"/>
    <x v="5"/>
    <x v="4"/>
    <n v="99"/>
    <n v="58"/>
    <n v="10"/>
    <n v="4"/>
    <n v="170.69"/>
    <n v="15"/>
    <n v="1"/>
    <n v="0"/>
    <x v="0"/>
    <n v="42"/>
  </r>
  <r>
    <n v="83"/>
    <x v="5"/>
    <x v="0"/>
    <n v="17"/>
    <n v="14"/>
    <n v="2"/>
    <n v="0"/>
    <n v="121.43"/>
    <n v="3"/>
    <n v="0"/>
    <n v="0"/>
    <x v="0"/>
    <n v="40.08"/>
  </r>
  <r>
    <n v="84"/>
    <x v="5"/>
    <x v="6"/>
    <n v="57"/>
    <n v="43"/>
    <n v="6"/>
    <n v="2"/>
    <n v="132.56"/>
    <n v="21"/>
    <n v="1"/>
    <n v="0"/>
    <x v="0"/>
    <n v="41.29"/>
  </r>
  <r>
    <n v="85"/>
    <x v="5"/>
    <x v="3"/>
    <n v="56"/>
    <n v="29"/>
    <n v="6"/>
    <n v="4"/>
    <n v="193.1"/>
    <n v="12"/>
    <n v="1"/>
    <n v="0"/>
    <x v="1"/>
    <n v="45.29"/>
  </r>
  <r>
    <n v="86"/>
    <x v="6"/>
    <x v="4"/>
    <n v="49"/>
    <n v="38"/>
    <n v="2"/>
    <n v="3"/>
    <n v="128.94999999999999"/>
    <n v="10"/>
    <n v="0"/>
    <n v="0"/>
    <x v="1"/>
    <n v="0"/>
  </r>
  <r>
    <n v="87"/>
    <x v="6"/>
    <x v="1"/>
    <n v="0"/>
    <n v="2"/>
    <n v="0"/>
    <n v="0"/>
    <n v="0"/>
    <n v="2"/>
    <n v="0"/>
    <n v="0"/>
    <x v="0"/>
    <n v="49"/>
  </r>
  <r>
    <n v="88"/>
    <x v="6"/>
    <x v="0"/>
    <n v="31"/>
    <n v="23"/>
    <n v="4"/>
    <n v="0"/>
    <n v="134.78"/>
    <n v="4"/>
    <n v="0"/>
    <n v="0"/>
    <x v="0"/>
    <n v="40"/>
  </r>
  <r>
    <n v="89"/>
    <x v="6"/>
    <x v="2"/>
    <n v="21"/>
    <n v="25"/>
    <n v="3"/>
    <n v="0"/>
    <n v="84"/>
    <n v="13"/>
    <n v="0"/>
    <n v="0"/>
    <x v="0"/>
    <n v="33.67"/>
  </r>
  <r>
    <n v="90"/>
    <x v="6"/>
    <x v="6"/>
    <n v="4"/>
    <n v="2"/>
    <n v="1"/>
    <n v="0"/>
    <n v="200"/>
    <n v="1"/>
    <n v="0"/>
    <n v="0"/>
    <x v="0"/>
    <n v="26.25"/>
  </r>
  <r>
    <n v="91"/>
    <x v="6"/>
    <x v="9"/>
    <n v="0"/>
    <n v="5"/>
    <n v="0"/>
    <n v="0"/>
    <n v="0"/>
    <n v="5"/>
    <n v="0"/>
    <n v="0"/>
    <x v="0"/>
    <n v="21"/>
  </r>
  <r>
    <n v="92"/>
    <x v="6"/>
    <x v="1"/>
    <n v="35"/>
    <n v="28"/>
    <n v="2"/>
    <n v="2"/>
    <n v="125"/>
    <n v="9"/>
    <n v="0"/>
    <n v="0"/>
    <x v="0"/>
    <n v="23.33"/>
  </r>
  <r>
    <n v="93"/>
    <x v="6"/>
    <x v="6"/>
    <n v="0"/>
    <n v="1"/>
    <n v="0"/>
    <n v="0"/>
    <n v="0"/>
    <n v="1"/>
    <n v="0"/>
    <n v="0"/>
    <x v="0"/>
    <n v="20"/>
  </r>
  <r>
    <n v="94"/>
    <x v="6"/>
    <x v="2"/>
    <n v="4"/>
    <n v="9"/>
    <n v="1"/>
    <n v="0"/>
    <n v="44.44"/>
    <n v="8"/>
    <n v="0"/>
    <n v="0"/>
    <x v="0"/>
    <n v="18"/>
  </r>
  <r>
    <n v="95"/>
    <x v="6"/>
    <x v="4"/>
    <n v="10"/>
    <n v="11"/>
    <n v="0"/>
    <n v="0"/>
    <n v="90.91"/>
    <n v="1"/>
    <n v="0"/>
    <n v="0"/>
    <x v="0"/>
    <n v="17.11"/>
  </r>
  <r>
    <n v="96"/>
    <x v="6"/>
    <x v="3"/>
    <n v="27"/>
    <n v="29"/>
    <n v="1"/>
    <n v="1"/>
    <n v="93.1"/>
    <n v="10"/>
    <n v="0"/>
    <n v="0"/>
    <x v="0"/>
    <n v="18.100000000000001"/>
  </r>
  <r>
    <n v="97"/>
    <x v="6"/>
    <x v="9"/>
    <n v="67"/>
    <n v="41"/>
    <n v="4"/>
    <n v="4"/>
    <n v="163.41"/>
    <n v="6"/>
    <n v="1"/>
    <n v="0"/>
    <x v="0"/>
    <n v="22.55"/>
  </r>
  <r>
    <n v="98"/>
    <x v="6"/>
    <x v="0"/>
    <n v="38"/>
    <n v="31"/>
    <n v="3"/>
    <n v="1"/>
    <n v="122.58"/>
    <n v="7"/>
    <n v="0"/>
    <n v="0"/>
    <x v="0"/>
    <n v="23.83"/>
  </r>
  <r>
    <n v="99"/>
    <x v="6"/>
    <x v="3"/>
    <n v="73"/>
    <n v="49"/>
    <n v="2"/>
    <n v="5"/>
    <n v="148.97999999999999"/>
    <n v="7"/>
    <n v="1"/>
    <n v="0"/>
    <x v="0"/>
    <n v="27.62"/>
  </r>
  <r>
    <n v="100"/>
    <x v="7"/>
    <x v="0"/>
    <n v="13"/>
    <n v="15"/>
    <n v="0"/>
    <n v="1"/>
    <n v="86.67"/>
    <n v="2"/>
    <n v="0"/>
    <n v="0"/>
    <x v="0"/>
    <n v="13"/>
  </r>
  <r>
    <n v="101"/>
    <x v="7"/>
    <x v="9"/>
    <n v="41"/>
    <n v="37"/>
    <n v="4"/>
    <n v="2"/>
    <n v="110.81"/>
    <n v="5"/>
    <n v="0"/>
    <n v="0"/>
    <x v="0"/>
    <n v="27"/>
  </r>
  <r>
    <n v="102"/>
    <x v="7"/>
    <x v="1"/>
    <n v="18"/>
    <n v="18"/>
    <n v="1"/>
    <n v="1"/>
    <n v="100"/>
    <n v="0"/>
    <n v="0"/>
    <n v="0"/>
    <x v="0"/>
    <n v="24"/>
  </r>
  <r>
    <n v="103"/>
    <x v="7"/>
    <x v="3"/>
    <n v="51"/>
    <n v="42"/>
    <n v="4"/>
    <n v="2"/>
    <n v="121.43"/>
    <n v="12"/>
    <n v="1"/>
    <n v="0"/>
    <x v="0"/>
    <n v="30.75"/>
  </r>
  <r>
    <n v="104"/>
    <x v="7"/>
    <x v="2"/>
    <n v="62"/>
    <n v="46"/>
    <n v="1"/>
    <n v="3"/>
    <n v="134.78"/>
    <n v="6"/>
    <n v="1"/>
    <n v="0"/>
    <x v="0"/>
    <n v="35"/>
  </r>
  <r>
    <n v="105"/>
    <x v="7"/>
    <x v="4"/>
    <n v="35"/>
    <n v="23"/>
    <n v="6"/>
    <n v="0"/>
    <n v="152.16999999999999"/>
    <n v="5"/>
    <n v="0"/>
    <n v="0"/>
    <x v="1"/>
    <n v="39.5"/>
  </r>
  <r>
    <n v="106"/>
    <x v="7"/>
    <x v="2"/>
    <n v="1"/>
    <n v="4"/>
    <n v="0"/>
    <n v="0"/>
    <n v="25"/>
    <n v="2"/>
    <n v="0"/>
    <n v="0"/>
    <x v="0"/>
    <n v="31.8"/>
  </r>
  <r>
    <n v="107"/>
    <x v="7"/>
    <x v="0"/>
    <n v="34"/>
    <n v="20"/>
    <n v="2"/>
    <n v="3"/>
    <n v="170"/>
    <n v="7"/>
    <n v="0"/>
    <n v="0"/>
    <x v="0"/>
    <n v="32.17"/>
  </r>
  <r>
    <n v="108"/>
    <x v="7"/>
    <x v="3"/>
    <n v="48"/>
    <n v="44"/>
    <n v="2"/>
    <n v="1"/>
    <n v="109.09"/>
    <n v="6"/>
    <n v="0"/>
    <n v="0"/>
    <x v="0"/>
    <n v="34.43"/>
  </r>
  <r>
    <n v="109"/>
    <x v="7"/>
    <x v="6"/>
    <n v="32"/>
    <n v="30"/>
    <n v="3"/>
    <n v="1"/>
    <n v="106.67"/>
    <n v="12"/>
    <n v="0"/>
    <n v="0"/>
    <x v="0"/>
    <n v="34.130000000000003"/>
  </r>
  <r>
    <n v="110"/>
    <x v="7"/>
    <x v="1"/>
    <n v="82"/>
    <n v="50"/>
    <n v="6"/>
    <n v="4"/>
    <n v="164"/>
    <n v="8"/>
    <n v="1"/>
    <n v="0"/>
    <x v="1"/>
    <n v="44.38"/>
  </r>
  <r>
    <n v="111"/>
    <x v="7"/>
    <x v="6"/>
    <n v="19"/>
    <n v="9"/>
    <n v="2"/>
    <n v="1"/>
    <n v="211.11"/>
    <n v="1"/>
    <n v="0"/>
    <n v="0"/>
    <x v="0"/>
    <n v="41.56"/>
  </r>
  <r>
    <n v="112"/>
    <x v="7"/>
    <x v="9"/>
    <n v="44"/>
    <n v="19"/>
    <n v="3"/>
    <n v="3"/>
    <n v="231.58"/>
    <n v="5"/>
    <n v="0"/>
    <n v="0"/>
    <x v="1"/>
    <n v="46.44"/>
  </r>
  <r>
    <n v="113"/>
    <x v="7"/>
    <x v="4"/>
    <n v="1"/>
    <n v="2"/>
    <n v="0"/>
    <n v="0"/>
    <n v="50"/>
    <n v="0"/>
    <n v="0"/>
    <n v="0"/>
    <x v="1"/>
    <n v="46.555500000000002"/>
  </r>
  <r>
    <n v="114"/>
    <x v="7"/>
    <x v="2"/>
    <n v="12"/>
    <n v="18"/>
    <n v="0"/>
    <n v="0"/>
    <n v="66.67"/>
    <n v="6"/>
    <n v="0"/>
    <n v="0"/>
    <x v="0"/>
    <n v="43.1"/>
  </r>
  <r>
    <n v="115"/>
    <x v="7"/>
    <x v="3"/>
    <n v="12"/>
    <n v="9"/>
    <n v="1"/>
    <n v="1"/>
    <n v="133.33000000000001"/>
    <n v="6"/>
    <n v="0"/>
    <n v="0"/>
    <x v="0"/>
    <n v="38"/>
  </r>
  <r>
    <n v="116"/>
    <x v="8"/>
    <x v="9"/>
    <n v="75"/>
    <n v="51"/>
    <n v="7"/>
    <n v="3"/>
    <n v="147.06"/>
    <n v="17"/>
    <n v="1"/>
    <n v="0"/>
    <x v="0"/>
    <n v="75"/>
  </r>
  <r>
    <n v="117"/>
    <x v="8"/>
    <x v="4"/>
    <n v="79"/>
    <n v="48"/>
    <n v="7"/>
    <n v="3"/>
    <n v="164.58"/>
    <n v="8"/>
    <n v="1"/>
    <n v="0"/>
    <x v="0"/>
    <n v="77"/>
  </r>
  <r>
    <n v="118"/>
    <x v="8"/>
    <x v="1"/>
    <n v="33"/>
    <n v="30"/>
    <n v="3"/>
    <n v="0"/>
    <n v="110"/>
    <n v="9"/>
    <n v="0"/>
    <n v="0"/>
    <x v="0"/>
    <n v="62.33"/>
  </r>
  <r>
    <n v="119"/>
    <x v="8"/>
    <x v="10"/>
    <n v="80"/>
    <n v="63"/>
    <n v="7"/>
    <n v="2"/>
    <n v="126.98"/>
    <n v="17"/>
    <n v="1"/>
    <n v="0"/>
    <x v="0"/>
    <n v="66.75"/>
  </r>
  <r>
    <n v="120"/>
    <x v="8"/>
    <x v="11"/>
    <n v="100"/>
    <n v="63"/>
    <n v="11"/>
    <n v="1"/>
    <n v="158.72999999999999"/>
    <n v="11"/>
    <n v="0"/>
    <n v="1"/>
    <x v="1"/>
    <n v="91.75"/>
  </r>
  <r>
    <n v="121"/>
    <x v="8"/>
    <x v="9"/>
    <n v="14"/>
    <n v="17"/>
    <n v="1"/>
    <n v="0"/>
    <n v="82.35"/>
    <n v="6"/>
    <n v="0"/>
    <n v="0"/>
    <x v="0"/>
    <n v="76.2"/>
  </r>
  <r>
    <n v="122"/>
    <x v="8"/>
    <x v="0"/>
    <n v="52"/>
    <n v="44"/>
    <n v="4"/>
    <n v="0"/>
    <n v="118.18"/>
    <n v="10"/>
    <n v="1"/>
    <n v="0"/>
    <x v="0"/>
    <n v="72.17"/>
  </r>
  <r>
    <n v="123"/>
    <x v="8"/>
    <x v="10"/>
    <n v="108"/>
    <n v="58"/>
    <n v="8"/>
    <n v="7"/>
    <n v="186.21"/>
    <n v="13"/>
    <n v="0"/>
    <n v="1"/>
    <x v="1"/>
    <n v="90.17"/>
  </r>
  <r>
    <n v="124"/>
    <x v="8"/>
    <x v="6"/>
    <n v="20"/>
    <n v="21"/>
    <n v="2"/>
    <n v="0"/>
    <n v="95.24"/>
    <n v="9"/>
    <n v="0"/>
    <n v="0"/>
    <x v="0"/>
    <n v="80.14"/>
  </r>
  <r>
    <n v="125"/>
    <x v="8"/>
    <x v="1"/>
    <n v="7"/>
    <n v="7"/>
    <n v="0"/>
    <n v="1"/>
    <n v="100"/>
    <n v="5"/>
    <n v="0"/>
    <n v="0"/>
    <x v="0"/>
    <n v="71"/>
  </r>
  <r>
    <n v="126"/>
    <x v="8"/>
    <x v="11"/>
    <n v="109"/>
    <n v="55"/>
    <n v="6"/>
    <n v="8"/>
    <n v="198.18"/>
    <n v="11"/>
    <n v="0"/>
    <n v="1"/>
    <x v="0"/>
    <n v="75.22"/>
  </r>
  <r>
    <n v="127"/>
    <x v="8"/>
    <x v="0"/>
    <n v="75"/>
    <n v="51"/>
    <n v="5"/>
    <n v="3"/>
    <n v="147.06"/>
    <n v="13"/>
    <n v="1"/>
    <n v="0"/>
    <x v="1"/>
    <n v="83.56"/>
  </r>
  <r>
    <n v="128"/>
    <x v="8"/>
    <x v="6"/>
    <n v="113"/>
    <n v="50"/>
    <n v="12"/>
    <n v="8"/>
    <n v="226"/>
    <n v="15"/>
    <n v="0"/>
    <n v="1"/>
    <x v="0"/>
    <n v="86.5"/>
  </r>
  <r>
    <n v="129"/>
    <x v="8"/>
    <x v="4"/>
    <n v="54"/>
    <n v="45"/>
    <n v="6"/>
    <n v="0"/>
    <n v="120"/>
    <n v="12"/>
    <n v="1"/>
    <n v="0"/>
    <x v="1"/>
    <n v="91.9"/>
  </r>
  <r>
    <n v="130"/>
    <x v="8"/>
    <x v="11"/>
    <n v="0"/>
    <n v="2"/>
    <n v="0"/>
    <n v="0"/>
    <n v="0"/>
    <n v="2"/>
    <n v="0"/>
    <n v="0"/>
    <x v="0"/>
    <n v="83.55"/>
  </r>
  <r>
    <n v="131"/>
    <x v="8"/>
    <x v="9"/>
    <n v="54"/>
    <n v="35"/>
    <n v="5"/>
    <n v="2"/>
    <n v="154.29"/>
    <n v="11"/>
    <n v="1"/>
    <n v="0"/>
    <x v="0"/>
    <n v="81.08"/>
  </r>
  <r>
    <n v="132"/>
    <x v="9"/>
    <x v="1"/>
    <n v="62"/>
    <n v="47"/>
    <n v="5"/>
    <n v="2"/>
    <n v="131.91"/>
    <n v="14"/>
    <n v="1"/>
    <n v="0"/>
    <x v="0"/>
    <n v="62"/>
  </r>
  <r>
    <n v="133"/>
    <x v="9"/>
    <x v="10"/>
    <n v="28"/>
    <n v="19"/>
    <n v="3"/>
    <n v="1"/>
    <n v="147.37"/>
    <n v="6"/>
    <n v="0"/>
    <n v="0"/>
    <x v="0"/>
    <n v="45"/>
  </r>
  <r>
    <n v="134"/>
    <x v="9"/>
    <x v="11"/>
    <n v="64"/>
    <n v="50"/>
    <n v="7"/>
    <n v="1"/>
    <n v="128"/>
    <n v="16"/>
    <n v="1"/>
    <n v="0"/>
    <x v="0"/>
    <n v="51.33"/>
  </r>
  <r>
    <n v="135"/>
    <x v="9"/>
    <x v="0"/>
    <n v="0"/>
    <n v="1"/>
    <n v="0"/>
    <n v="0"/>
    <n v="0"/>
    <n v="0"/>
    <n v="0"/>
    <n v="0"/>
    <x v="0"/>
    <n v="38.5"/>
  </r>
  <r>
    <n v="136"/>
    <x v="9"/>
    <x v="11"/>
    <n v="10"/>
    <n v="13"/>
    <n v="0"/>
    <n v="1"/>
    <n v="76.92"/>
    <n v="8"/>
    <n v="0"/>
    <n v="0"/>
    <x v="0"/>
    <n v="32.799999999999997"/>
  </r>
  <r>
    <n v="137"/>
    <x v="9"/>
    <x v="10"/>
    <n v="55"/>
    <n v="48"/>
    <n v="4"/>
    <n v="1"/>
    <n v="114.58"/>
    <n v="7"/>
    <n v="1"/>
    <n v="0"/>
    <x v="0"/>
    <n v="36.5"/>
  </r>
  <r>
    <n v="138"/>
    <x v="9"/>
    <x v="1"/>
    <n v="20"/>
    <n v="14"/>
    <n v="0"/>
    <n v="2"/>
    <n v="142.86000000000001"/>
    <n v="5"/>
    <n v="0"/>
    <n v="0"/>
    <x v="0"/>
    <n v="34.14"/>
  </r>
  <r>
    <n v="139"/>
    <x v="9"/>
    <x v="6"/>
    <n v="6"/>
    <n v="6"/>
    <n v="1"/>
    <n v="0"/>
    <n v="100"/>
    <n v="2"/>
    <n v="0"/>
    <n v="0"/>
    <x v="0"/>
    <n v="30.63"/>
  </r>
  <r>
    <n v="140"/>
    <x v="9"/>
    <x v="0"/>
    <n v="5"/>
    <n v="9"/>
    <n v="0"/>
    <n v="0"/>
    <n v="55.56"/>
    <n v="4"/>
    <n v="0"/>
    <n v="0"/>
    <x v="0"/>
    <n v="27.78"/>
  </r>
  <r>
    <n v="141"/>
    <x v="9"/>
    <x v="4"/>
    <n v="58"/>
    <n v="45"/>
    <n v="3"/>
    <n v="3"/>
    <n v="128.88999999999999"/>
    <n v="7"/>
    <n v="1"/>
    <n v="0"/>
    <x v="0"/>
    <n v="30.8"/>
  </r>
  <r>
    <n v="142"/>
    <x v="10"/>
    <x v="0"/>
    <n v="31"/>
    <n v="33"/>
    <n v="1"/>
    <n v="1"/>
    <n v="93.94"/>
    <n v="10"/>
    <n v="0"/>
    <n v="0"/>
    <x v="0"/>
    <n v="31"/>
  </r>
  <r>
    <n v="143"/>
    <x v="10"/>
    <x v="6"/>
    <n v="21"/>
    <n v="16"/>
    <n v="4"/>
    <n v="0"/>
    <n v="131.25"/>
    <n v="7"/>
    <n v="0"/>
    <n v="0"/>
    <x v="0"/>
    <n v="26"/>
  </r>
  <r>
    <n v="144"/>
    <x v="10"/>
    <x v="2"/>
    <n v="57"/>
    <n v="30"/>
    <n v="6"/>
    <n v="2"/>
    <n v="190"/>
    <n v="1"/>
    <n v="1"/>
    <n v="0"/>
    <x v="0"/>
    <n v="36.33"/>
  </r>
  <r>
    <n v="145"/>
    <x v="10"/>
    <x v="1"/>
    <n v="92"/>
    <n v="62"/>
    <n v="7"/>
    <n v="4"/>
    <n v="148.38"/>
    <n v="11"/>
    <n v="1"/>
    <n v="0"/>
    <x v="1"/>
    <n v="67"/>
  </r>
  <r>
    <n v="146"/>
    <x v="10"/>
    <x v="4"/>
    <n v="30"/>
    <n v="26"/>
    <n v="2"/>
    <n v="1"/>
    <n v="115.38"/>
    <n v="7"/>
    <n v="0"/>
    <n v="0"/>
    <x v="0"/>
    <n v="57.75"/>
  </r>
  <r>
    <n v="147"/>
    <x v="10"/>
    <x v="3"/>
    <n v="18"/>
    <n v="15"/>
    <n v="3"/>
    <n v="0"/>
    <n v="120"/>
    <n v="6"/>
    <n v="0"/>
    <n v="0"/>
    <x v="0"/>
    <n v="49.8"/>
  </r>
  <r>
    <n v="148"/>
    <x v="10"/>
    <x v="0"/>
    <n v="68"/>
    <n v="44"/>
    <n v="5"/>
    <n v="3"/>
    <n v="154.54"/>
    <n v="6"/>
    <n v="1"/>
    <n v="0"/>
    <x v="1"/>
    <n v="63.4"/>
  </r>
  <r>
    <n v="149"/>
    <x v="10"/>
    <x v="1"/>
    <n v="32"/>
    <n v="26"/>
    <n v="2"/>
    <n v="1"/>
    <n v="123.08"/>
    <n v="5"/>
    <n v="0"/>
    <n v="0"/>
    <x v="0"/>
    <n v="58.17"/>
  </r>
  <r>
    <n v="150"/>
    <x v="10"/>
    <x v="3"/>
    <n v="8"/>
    <n v="11"/>
    <n v="1"/>
    <n v="0"/>
    <n v="72.73"/>
    <n v="6"/>
    <n v="0"/>
    <n v="0"/>
    <x v="0"/>
    <n v="51"/>
  </r>
  <r>
    <n v="151"/>
    <x v="10"/>
    <x v="9"/>
    <n v="39"/>
    <n v="30"/>
    <n v="5"/>
    <n v="1"/>
    <n v="130"/>
    <n v="11"/>
    <n v="0"/>
    <n v="0"/>
    <x v="0"/>
    <n v="49.5"/>
  </r>
  <r>
    <n v="152"/>
    <x v="10"/>
    <x v="4"/>
    <n v="70"/>
    <n v="40"/>
    <n v="7"/>
    <n v="3"/>
    <n v="175"/>
    <n v="6"/>
    <n v="1"/>
    <n v="0"/>
    <x v="0"/>
    <n v="51.78"/>
  </r>
  <r>
    <n v="153"/>
    <x v="10"/>
    <x v="6"/>
    <n v="48"/>
    <n v="28"/>
    <n v="6"/>
    <n v="2"/>
    <n v="171.43"/>
    <n v="8"/>
    <n v="1"/>
    <n v="0"/>
    <x v="1"/>
    <n v="57.11"/>
  </r>
  <r>
    <n v="154"/>
    <x v="10"/>
    <x v="9"/>
    <n v="12"/>
    <n v="11"/>
    <n v="2"/>
    <n v="0"/>
    <n v="109.09"/>
    <n v="5"/>
    <n v="0"/>
    <n v="0"/>
    <x v="0"/>
    <n v="52.6"/>
  </r>
  <r>
    <n v="155"/>
    <x v="10"/>
    <x v="2"/>
    <n v="4"/>
    <n v="9"/>
    <n v="0"/>
    <n v="0"/>
    <n v="44.44"/>
    <n v="5"/>
    <n v="0"/>
    <n v="0"/>
    <x v="0"/>
    <n v="48.18"/>
  </r>
  <r>
    <n v="156"/>
    <x v="11"/>
    <x v="3"/>
    <n v="6"/>
    <n v="12"/>
    <n v="0"/>
    <n v="0"/>
    <n v="50"/>
    <n v="6"/>
    <n v="0"/>
    <n v="0"/>
    <x v="0"/>
    <n v="6"/>
  </r>
  <r>
    <n v="157"/>
    <x v="11"/>
    <x v="1"/>
    <n v="46"/>
    <n v="32"/>
    <n v="6"/>
    <n v="0"/>
    <n v="143.75"/>
    <n v="4"/>
    <n v="0"/>
    <n v="0"/>
    <x v="0"/>
    <n v="26"/>
  </r>
  <r>
    <n v="158"/>
    <x v="11"/>
    <x v="9"/>
    <n v="3"/>
    <n v="10"/>
    <n v="0"/>
    <n v="0"/>
    <n v="30"/>
    <n v="7"/>
    <n v="0"/>
    <n v="0"/>
    <x v="0"/>
    <n v="18.329999999999998"/>
  </r>
  <r>
    <n v="159"/>
    <x v="11"/>
    <x v="2"/>
    <n v="23"/>
    <n v="25"/>
    <n v="3"/>
    <n v="0"/>
    <n v="92"/>
    <n v="11"/>
    <n v="0"/>
    <n v="0"/>
    <x v="0"/>
    <n v="19.5"/>
  </r>
  <r>
    <n v="160"/>
    <x v="11"/>
    <x v="0"/>
    <n v="84"/>
    <n v="49"/>
    <n v="9"/>
    <n v="2"/>
    <n v="171.43"/>
    <n v="2"/>
    <n v="1"/>
    <n v="0"/>
    <x v="0"/>
    <n v="32.4"/>
  </r>
  <r>
    <n v="161"/>
    <x v="11"/>
    <x v="4"/>
    <n v="41"/>
    <n v="33"/>
    <n v="1"/>
    <n v="2"/>
    <n v="124.24"/>
    <n v="5"/>
    <n v="0"/>
    <n v="0"/>
    <x v="0"/>
    <n v="33.83"/>
  </r>
  <r>
    <n v="162"/>
    <x v="11"/>
    <x v="6"/>
    <n v="67"/>
    <n v="53"/>
    <n v="8"/>
    <n v="0"/>
    <n v="126.42"/>
    <n v="10"/>
    <n v="1"/>
    <n v="0"/>
    <x v="0"/>
    <n v="38.57"/>
  </r>
  <r>
    <n v="163"/>
    <x v="11"/>
    <x v="1"/>
    <n v="8"/>
    <n v="9"/>
    <n v="1"/>
    <n v="0"/>
    <n v="88.89"/>
    <n v="4"/>
    <n v="0"/>
    <n v="0"/>
    <x v="0"/>
    <n v="34.75"/>
  </r>
  <r>
    <n v="164"/>
    <x v="11"/>
    <x v="0"/>
    <n v="100"/>
    <n v="58"/>
    <n v="9"/>
    <n v="4"/>
    <n v="172.41"/>
    <n v="5"/>
    <n v="1"/>
    <n v="1"/>
    <x v="0"/>
    <n v="42"/>
  </r>
  <r>
    <n v="165"/>
    <x v="11"/>
    <x v="3"/>
    <n v="9"/>
    <n v="8"/>
    <n v="2"/>
    <n v="0"/>
    <n v="112.5"/>
    <n v="5"/>
    <n v="0"/>
    <n v="0"/>
    <x v="0"/>
    <n v="38.700000000000003"/>
  </r>
  <r>
    <n v="166"/>
    <x v="11"/>
    <x v="6"/>
    <n v="13"/>
    <n v="8"/>
    <n v="2"/>
    <n v="0"/>
    <n v="162.5"/>
    <n v="1"/>
    <n v="0"/>
    <n v="0"/>
    <x v="0"/>
    <n v="36.36"/>
  </r>
  <r>
    <n v="167"/>
    <x v="11"/>
    <x v="4"/>
    <n v="23"/>
    <n v="17"/>
    <n v="2"/>
    <n v="1"/>
    <n v="135.29"/>
    <n v="5"/>
    <n v="0"/>
    <n v="0"/>
    <x v="0"/>
    <n v="35.25"/>
  </r>
  <r>
    <n v="168"/>
    <x v="11"/>
    <x v="2"/>
    <n v="25"/>
    <n v="7"/>
    <n v="1"/>
    <n v="2"/>
    <n v="357.14"/>
    <n v="2"/>
    <n v="0"/>
    <n v="0"/>
    <x v="0"/>
    <n v="34.46"/>
  </r>
  <r>
    <n v="169"/>
    <x v="11"/>
    <x v="9"/>
    <n v="16"/>
    <n v="7"/>
    <n v="2"/>
    <n v="1"/>
    <n v="228.57"/>
    <n v="2"/>
    <n v="0"/>
    <n v="0"/>
    <x v="0"/>
    <n v="33.14"/>
  </r>
  <r>
    <n v="170"/>
    <x v="12"/>
    <x v="9"/>
    <n v="14"/>
    <n v="13"/>
    <n v="0"/>
    <n v="0"/>
    <n v="107.69"/>
    <n v="2"/>
    <n v="0"/>
    <n v="0"/>
    <x v="0"/>
    <n v="14"/>
  </r>
  <r>
    <n v="171"/>
    <x v="12"/>
    <x v="6"/>
    <n v="1"/>
    <n v="5"/>
    <n v="0"/>
    <n v="0"/>
    <n v="20"/>
    <n v="4"/>
    <n v="0"/>
    <n v="0"/>
    <x v="0"/>
    <n v="7.5"/>
  </r>
  <r>
    <n v="172"/>
    <x v="12"/>
    <x v="1"/>
    <n v="3"/>
    <n v="11"/>
    <n v="0"/>
    <n v="0"/>
    <n v="27.27"/>
    <n v="8"/>
    <n v="0"/>
    <n v="0"/>
    <x v="0"/>
    <n v="6"/>
  </r>
  <r>
    <n v="173"/>
    <x v="12"/>
    <x v="2"/>
    <n v="72"/>
    <n v="53"/>
    <n v="7"/>
    <n v="2"/>
    <n v="135.85"/>
    <n v="19"/>
    <n v="1"/>
    <n v="0"/>
    <x v="1"/>
    <n v="30"/>
  </r>
  <r>
    <n v="174"/>
    <x v="12"/>
    <x v="4"/>
    <n v="43"/>
    <n v="39"/>
    <n v="2"/>
    <n v="1"/>
    <n v="110.26"/>
    <n v="12"/>
    <n v="0"/>
    <n v="0"/>
    <x v="0"/>
    <n v="33.25"/>
  </r>
  <r>
    <n v="175"/>
    <x v="12"/>
    <x v="3"/>
    <n v="90"/>
    <n v="52"/>
    <n v="4"/>
    <n v="4"/>
    <n v="173.08"/>
    <n v="5"/>
    <n v="1"/>
    <n v="0"/>
    <x v="1"/>
    <n v="55.75"/>
  </r>
  <r>
    <n v="176"/>
    <x v="12"/>
    <x v="0"/>
    <n v="33"/>
    <n v="28"/>
    <n v="1"/>
    <n v="0"/>
    <n v="117.86"/>
    <n v="5"/>
    <n v="0"/>
    <n v="0"/>
    <x v="1"/>
    <n v="64"/>
  </r>
  <r>
    <n v="177"/>
    <x v="12"/>
    <x v="6"/>
    <n v="48"/>
    <n v="39"/>
    <n v="3"/>
    <n v="0"/>
    <n v="123.08"/>
    <n v="5"/>
    <n v="0"/>
    <n v="0"/>
    <x v="0"/>
    <n v="60.8"/>
  </r>
  <r>
    <n v="178"/>
    <x v="12"/>
    <x v="2"/>
    <n v="43"/>
    <n v="32"/>
    <n v="1"/>
    <n v="2"/>
    <n v="134.38"/>
    <n v="8"/>
    <n v="0"/>
    <n v="0"/>
    <x v="0"/>
    <n v="57.83"/>
  </r>
  <r>
    <n v="179"/>
    <x v="12"/>
    <x v="0"/>
    <n v="18"/>
    <n v="17"/>
    <n v="2"/>
    <n v="0"/>
    <n v="105.88"/>
    <n v="6"/>
    <n v="0"/>
    <n v="0"/>
    <x v="1"/>
    <n v="60.83"/>
  </r>
  <r>
    <n v="180"/>
    <x v="12"/>
    <x v="3"/>
    <n v="50"/>
    <n v="43"/>
    <n v="1"/>
    <n v="1"/>
    <n v="116.28"/>
    <n v="7"/>
    <n v="1"/>
    <n v="0"/>
    <x v="0"/>
    <n v="59.29"/>
  </r>
  <r>
    <n v="181"/>
    <x v="12"/>
    <x v="1"/>
    <n v="9"/>
    <n v="14"/>
    <n v="0"/>
    <n v="0"/>
    <n v="64.290000000000006"/>
    <n v="7"/>
    <n v="0"/>
    <n v="0"/>
    <x v="0"/>
    <n v="53"/>
  </r>
  <r>
    <n v="182"/>
    <x v="12"/>
    <x v="9"/>
    <n v="7"/>
    <n v="7"/>
    <n v="0"/>
    <n v="0"/>
    <n v="100"/>
    <n v="2"/>
    <n v="0"/>
    <n v="0"/>
    <x v="0"/>
    <n v="47.89"/>
  </r>
  <r>
    <n v="183"/>
    <x v="12"/>
    <x v="4"/>
    <n v="29"/>
    <n v="24"/>
    <n v="2"/>
    <n v="1"/>
    <n v="120.83"/>
    <n v="7"/>
    <n v="0"/>
    <n v="0"/>
    <x v="0"/>
    <n v="46"/>
  </r>
  <r>
    <n v="184"/>
    <x v="12"/>
    <x v="9"/>
    <n v="6"/>
    <n v="7"/>
    <n v="0"/>
    <n v="0"/>
    <n v="85.71"/>
    <n v="3"/>
    <n v="0"/>
    <n v="0"/>
    <x v="0"/>
    <n v="42.36"/>
  </r>
  <r>
    <n v="185"/>
    <x v="13"/>
    <x v="1"/>
    <n v="33"/>
    <n v="29"/>
    <n v="4"/>
    <n v="0"/>
    <n v="113.79"/>
    <n v="15"/>
    <n v="0"/>
    <n v="0"/>
    <x v="0"/>
    <n v="33"/>
  </r>
  <r>
    <n v="186"/>
    <x v="13"/>
    <x v="9"/>
    <n v="33"/>
    <n v="29"/>
    <n v="4"/>
    <n v="0"/>
    <n v="113.79"/>
    <n v="15"/>
    <n v="0"/>
    <n v="0"/>
    <x v="0"/>
    <n v="33"/>
  </r>
  <r>
    <n v="187"/>
    <x v="13"/>
    <x v="0"/>
    <n v="5"/>
    <n v="6"/>
    <n v="1"/>
    <n v="0"/>
    <n v="83.33"/>
    <n v="4"/>
    <n v="0"/>
    <n v="0"/>
    <x v="0"/>
    <n v="23.67"/>
  </r>
  <r>
    <n v="188"/>
    <x v="13"/>
    <x v="2"/>
    <n v="72"/>
    <n v="47"/>
    <n v="6"/>
    <n v="3"/>
    <n v="153.19"/>
    <n v="8"/>
    <n v="1"/>
    <n v="0"/>
    <x v="1"/>
    <n v="47.67"/>
  </r>
  <r>
    <n v="189"/>
    <x v="13"/>
    <x v="3"/>
    <n v="8"/>
    <n v="7"/>
    <n v="1"/>
    <n v="0"/>
    <n v="114.29"/>
    <n v="2"/>
    <n v="0"/>
    <n v="0"/>
    <x v="0"/>
    <n v="37.75"/>
  </r>
  <r>
    <n v="190"/>
    <x v="13"/>
    <x v="4"/>
    <n v="12"/>
    <n v="11"/>
    <n v="2"/>
    <n v="0"/>
    <n v="109.09"/>
    <n v="5"/>
    <n v="0"/>
    <n v="0"/>
    <x v="0"/>
    <n v="32.6"/>
  </r>
  <r>
    <n v="191"/>
    <x v="13"/>
    <x v="6"/>
    <n v="35"/>
    <n v="3"/>
    <n v="0"/>
    <n v="0"/>
    <n v="0"/>
    <n v="3"/>
    <n v="0"/>
    <n v="0"/>
    <x v="0"/>
    <n v="27.17"/>
  </r>
  <r>
    <n v="192"/>
    <x v="13"/>
    <x v="0"/>
    <n v="5"/>
    <n v="4"/>
    <n v="1"/>
    <n v="0"/>
    <n v="125"/>
    <n v="2"/>
    <n v="0"/>
    <n v="0"/>
    <x v="0"/>
    <n v="24"/>
  </r>
  <r>
    <n v="193"/>
    <x v="13"/>
    <x v="3"/>
    <n v="53"/>
    <n v="41"/>
    <n v="6"/>
    <n v="1"/>
    <n v="129.27000000000001"/>
    <n v="11"/>
    <n v="1"/>
    <n v="0"/>
    <x v="0"/>
    <n v="27.62"/>
  </r>
  <r>
    <n v="194"/>
    <x v="13"/>
    <x v="1"/>
    <n v="51"/>
    <n v="42"/>
    <n v="3"/>
    <n v="3"/>
    <n v="121.43"/>
    <n v="12"/>
    <n v="1"/>
    <n v="0"/>
    <x v="0"/>
    <n v="30.22"/>
  </r>
  <r>
    <n v="195"/>
    <x v="13"/>
    <x v="2"/>
    <n v="25"/>
    <n v="20"/>
    <n v="4"/>
    <n v="0"/>
    <n v="125"/>
    <n v="7"/>
    <n v="0"/>
    <n v="0"/>
    <x v="0"/>
    <n v="32.5"/>
  </r>
  <r>
    <n v="196"/>
    <x v="13"/>
    <x v="6"/>
    <n v="25"/>
    <n v="24"/>
    <n v="2"/>
    <n v="1"/>
    <n v="104.17"/>
    <n v="12"/>
    <n v="0"/>
    <n v="0"/>
    <x v="0"/>
    <n v="31.82"/>
  </r>
  <r>
    <n v="197"/>
    <x v="13"/>
    <x v="9"/>
    <n v="5"/>
    <n v="4"/>
    <n v="1"/>
    <n v="0"/>
    <n v="125"/>
    <n v="2"/>
    <n v="0"/>
    <n v="0"/>
    <x v="0"/>
    <n v="29.58"/>
  </r>
  <r>
    <n v="198"/>
    <x v="13"/>
    <x v="4"/>
    <n v="4"/>
    <n v="8"/>
    <n v="0"/>
    <n v="0"/>
    <n v="50"/>
    <n v="4"/>
    <n v="0"/>
    <n v="0"/>
    <x v="0"/>
    <n v="20"/>
  </r>
  <r>
    <n v="199"/>
    <x v="13"/>
    <x v="0"/>
    <n v="39"/>
    <n v="20"/>
    <n v="2"/>
    <n v="2"/>
    <n v="194"/>
    <n v="7"/>
    <n v="0"/>
    <n v="0"/>
    <x v="0"/>
    <n v="28.92"/>
  </r>
  <r>
    <n v="200"/>
    <x v="14"/>
    <x v="6"/>
    <n v="41"/>
    <n v="29"/>
    <n v="1"/>
    <n v="2"/>
    <n v="141.38"/>
    <n v="8"/>
    <n v="0"/>
    <n v="0"/>
    <x v="1"/>
    <n v="41"/>
  </r>
  <r>
    <n v="201"/>
    <x v="14"/>
    <x v="0"/>
    <n v="12"/>
    <n v="7"/>
    <n v="2"/>
    <n v="0"/>
    <n v="171.43"/>
    <n v="5"/>
    <n v="0"/>
    <n v="0"/>
    <x v="0"/>
    <n v="53"/>
  </r>
  <r>
    <n v="202"/>
    <x v="14"/>
    <x v="2"/>
    <n v="5"/>
    <n v="6"/>
    <n v="0"/>
    <n v="0"/>
    <n v="83.33"/>
    <n v="3"/>
    <n v="0"/>
    <n v="0"/>
    <x v="0"/>
    <n v="29"/>
  </r>
  <r>
    <n v="203"/>
    <x v="14"/>
    <x v="1"/>
    <n v="48"/>
    <n v="36"/>
    <n v="5"/>
    <n v="0"/>
    <n v="133.33000000000001"/>
    <n v="4"/>
    <n v="0"/>
    <n v="0"/>
    <x v="0"/>
    <n v="35.33"/>
  </r>
  <r>
    <n v="204"/>
    <x v="14"/>
    <x v="3"/>
    <n v="1"/>
    <n v="3"/>
    <n v="0"/>
    <n v="0"/>
    <n v="33.33"/>
    <n v="1"/>
    <n v="0"/>
    <n v="0"/>
    <x v="0"/>
    <n v="26.75"/>
  </r>
  <r>
    <n v="205"/>
    <x v="14"/>
    <x v="4"/>
    <n v="12"/>
    <n v="14"/>
    <n v="1"/>
    <n v="0"/>
    <n v="85.71"/>
    <n v="5"/>
    <n v="0"/>
    <n v="0"/>
    <x v="0"/>
    <n v="23.8"/>
  </r>
  <r>
    <n v="206"/>
    <x v="14"/>
    <x v="12"/>
    <n v="0"/>
    <n v="1"/>
    <n v="0"/>
    <n v="0"/>
    <n v="0"/>
    <n v="0"/>
    <n v="0"/>
    <n v="0"/>
    <x v="0"/>
    <n v="19.829999999999998"/>
  </r>
  <r>
    <n v="207"/>
    <x v="14"/>
    <x v="9"/>
    <n v="0"/>
    <n v="1"/>
    <n v="0"/>
    <n v="0"/>
    <n v="0"/>
    <n v="0"/>
    <n v="0"/>
    <n v="0"/>
    <x v="0"/>
    <n v="17"/>
  </r>
  <r>
    <n v="208"/>
    <x v="14"/>
    <x v="2"/>
    <n v="9"/>
    <n v="10"/>
    <n v="2"/>
    <n v="0"/>
    <n v="90"/>
    <n v="7"/>
    <n v="0"/>
    <n v="0"/>
    <x v="0"/>
    <n v="16"/>
  </r>
  <r>
    <n v="209"/>
    <x v="14"/>
    <x v="13"/>
    <n v="58"/>
    <n v="53"/>
    <n v="6"/>
    <n v="1"/>
    <n v="109.43"/>
    <n v="7"/>
    <n v="1"/>
    <n v="0"/>
    <x v="0"/>
    <n v="20.67"/>
  </r>
  <r>
    <n v="210"/>
    <x v="14"/>
    <x v="3"/>
    <n v="30"/>
    <n v="33"/>
    <n v="3"/>
    <n v="1"/>
    <n v="90.91"/>
    <n v="8"/>
    <n v="0"/>
    <n v="0"/>
    <x v="0"/>
    <n v="21.6"/>
  </r>
  <r>
    <n v="211"/>
    <x v="14"/>
    <x v="9"/>
    <n v="0"/>
    <n v="1"/>
    <n v="0"/>
    <n v="0"/>
    <n v="0"/>
    <n v="0"/>
    <n v="0"/>
    <n v="0"/>
    <x v="0"/>
    <n v="19.64"/>
  </r>
  <r>
    <n v="212"/>
    <x v="14"/>
    <x v="6"/>
    <n v="20"/>
    <n v="14"/>
    <n v="2"/>
    <n v="1"/>
    <n v="142.86000000000001"/>
    <n v="5"/>
    <n v="0"/>
    <n v="0"/>
    <x v="0"/>
    <n v="19.670000000000002"/>
  </r>
  <r>
    <n v="213"/>
    <x v="14"/>
    <x v="13"/>
    <n v="73"/>
    <n v="54"/>
    <n v="8"/>
    <n v="2"/>
    <n v="135.19"/>
    <n v="11"/>
    <n v="1"/>
    <n v="0"/>
    <x v="0"/>
    <n v="23.77"/>
  </r>
  <r>
    <n v="214"/>
    <x v="14"/>
    <x v="12"/>
    <n v="25"/>
    <n v="24"/>
    <n v="2"/>
    <n v="0"/>
    <n v="104.17"/>
    <n v="4"/>
    <n v="0"/>
    <n v="0"/>
    <x v="0"/>
    <n v="23.86"/>
  </r>
  <r>
    <n v="215"/>
    <x v="14"/>
    <x v="2"/>
    <n v="7"/>
    <n v="8"/>
    <n v="0"/>
    <n v="1"/>
    <n v="87.5"/>
    <n v="5"/>
    <n v="0"/>
    <n v="0"/>
    <x v="0"/>
    <n v="22.73"/>
  </r>
  <r>
    <n v="216"/>
    <x v="15"/>
    <x v="1"/>
    <n v="82"/>
    <n v="49"/>
    <n v="6"/>
    <n v="5"/>
    <n v="167.35"/>
    <n v="15"/>
    <n v="1"/>
    <n v="0"/>
    <x v="1"/>
    <n v="0"/>
  </r>
  <r>
    <n v="217"/>
    <x v="15"/>
    <x v="0"/>
    <n v="21"/>
    <n v="18"/>
    <n v="3"/>
    <n v="0"/>
    <n v="116.67"/>
    <n v="9"/>
    <n v="0"/>
    <n v="0"/>
    <x v="0"/>
    <n v="82"/>
  </r>
  <r>
    <n v="218"/>
    <x v="15"/>
    <x v="12"/>
    <n v="61"/>
    <n v="44"/>
    <n v="4"/>
    <n v="4"/>
    <n v="138.63999999999999"/>
    <n v="16"/>
    <n v="1"/>
    <n v="0"/>
    <x v="0"/>
    <n v="54.33"/>
  </r>
  <r>
    <n v="219"/>
    <x v="15"/>
    <x v="4"/>
    <n v="50"/>
    <n v="34"/>
    <n v="6"/>
    <n v="1"/>
    <n v="147.06"/>
    <n v="9"/>
    <n v="1"/>
    <n v="0"/>
    <x v="0"/>
    <n v="54.33"/>
  </r>
  <r>
    <n v="220"/>
    <x v="15"/>
    <x v="3"/>
    <n v="6"/>
    <n v="4"/>
    <n v="1"/>
    <n v="0"/>
    <n v="150"/>
    <n v="2"/>
    <n v="0"/>
    <n v="0"/>
    <x v="0"/>
    <n v="44.75"/>
  </r>
  <r>
    <n v="221"/>
    <x v="15"/>
    <x v="6"/>
    <n v="59"/>
    <n v="47"/>
    <n v="5"/>
    <n v="1"/>
    <n v="125.53"/>
    <n v="13"/>
    <n v="1"/>
    <n v="0"/>
    <x v="0"/>
    <n v="44.43"/>
  </r>
  <r>
    <n v="222"/>
    <x v="15"/>
    <x v="2"/>
    <n v="0"/>
    <n v="1"/>
    <n v="0"/>
    <n v="0"/>
    <n v="0"/>
    <n v="1"/>
    <n v="0"/>
    <n v="0"/>
    <x v="0"/>
    <n v="40.86"/>
  </r>
  <r>
    <n v="223"/>
    <x v="15"/>
    <x v="0"/>
    <n v="54"/>
    <n v="37"/>
    <n v="6"/>
    <n v="0"/>
    <n v="145.94999999999999"/>
    <n v="5"/>
    <n v="1"/>
    <n v="0"/>
    <x v="0"/>
    <n v="41.13"/>
  </r>
  <r>
    <n v="224"/>
    <x v="15"/>
    <x v="12"/>
    <n v="31"/>
    <n v="30"/>
    <n v="3"/>
    <n v="0"/>
    <n v="103.33"/>
    <n v="9"/>
    <n v="0"/>
    <n v="0"/>
    <x v="0"/>
    <n v="40"/>
  </r>
  <r>
    <n v="225"/>
    <x v="15"/>
    <x v="4"/>
    <n v="55"/>
    <n v="46"/>
    <n v="5"/>
    <n v="0"/>
    <n v="119.57"/>
    <n v="12"/>
    <n v="1"/>
    <n v="0"/>
    <x v="0"/>
    <n v="40.31"/>
  </r>
  <r>
    <n v="226"/>
    <x v="15"/>
    <x v="1"/>
    <n v="1"/>
    <n v="4"/>
    <n v="0"/>
    <n v="0"/>
    <n v="25"/>
    <n v="3"/>
    <n v="0"/>
    <n v="0"/>
    <x v="0"/>
    <n v="36.64"/>
  </r>
  <r>
    <n v="227"/>
    <x v="15"/>
    <x v="2"/>
    <n v="18"/>
    <n v="19"/>
    <n v="1"/>
    <n v="0"/>
    <n v="94.74"/>
    <n v="4"/>
    <n v="0"/>
    <n v="0"/>
    <x v="0"/>
    <n v="35.75"/>
  </r>
  <r>
    <n v="228"/>
    <x v="15"/>
    <x v="9"/>
    <n v="100"/>
    <n v="63"/>
    <n v="12"/>
    <n v="4"/>
    <n v="158.72999999999999"/>
    <n v="22"/>
    <n v="0"/>
    <n v="1"/>
    <x v="0"/>
    <n v="44.07"/>
  </r>
  <r>
    <n v="229"/>
    <x v="15"/>
    <x v="13"/>
    <n v="101"/>
    <n v="61"/>
    <n v="13"/>
    <n v="1"/>
    <n v="165.57"/>
    <n v="10"/>
    <n v="0"/>
    <n v="1"/>
    <x v="1"/>
    <n v="53.25"/>
  </r>
  <r>
    <n v="230"/>
    <x v="16"/>
    <x v="3"/>
    <n v="21"/>
    <n v="20"/>
    <n v="0"/>
    <n v="1"/>
    <n v="105"/>
    <n v="6"/>
    <n v="0"/>
    <n v="0"/>
    <x v="0"/>
    <n v="21"/>
  </r>
  <r>
    <n v="231"/>
    <x v="16"/>
    <x v="6"/>
    <n v="77"/>
    <n v="49"/>
    <n v="11"/>
    <n v="2"/>
    <n v="157.1"/>
    <n v="19"/>
    <n v="1"/>
    <n v="0"/>
    <x v="0"/>
    <n v="49"/>
  </r>
  <r>
    <n v="232"/>
    <x v="16"/>
    <x v="0"/>
    <n v="83"/>
    <n v="59"/>
    <n v="4"/>
    <n v="4"/>
    <n v="140.69999999999999"/>
    <n v="16"/>
    <n v="1"/>
    <n v="0"/>
    <x v="1"/>
    <n v="80.5"/>
  </r>
  <r>
    <n v="233"/>
    <x v="16"/>
    <x v="12"/>
    <n v="22"/>
    <n v="16"/>
    <n v="2"/>
    <n v="1"/>
    <n v="137.5"/>
    <n v="6"/>
    <n v="0"/>
    <n v="0"/>
    <x v="0"/>
    <n v="62"/>
  </r>
  <r>
    <n v="234"/>
    <x v="16"/>
    <x v="2"/>
    <n v="113"/>
    <n v="72"/>
    <n v="12"/>
    <n v="4"/>
    <n v="156.9"/>
    <n v="20"/>
    <n v="0"/>
    <n v="1"/>
    <x v="1"/>
    <n v="79.5"/>
  </r>
  <r>
    <n v="235"/>
    <x v="16"/>
    <x v="1"/>
    <n v="3"/>
    <n v="9"/>
    <n v="0"/>
    <n v="0"/>
    <n v="33.299999999999997"/>
    <n v="6"/>
    <n v="0"/>
    <n v="0"/>
    <x v="0"/>
    <n v="64"/>
  </r>
  <r>
    <n v="236"/>
    <x v="16"/>
    <x v="9"/>
    <n v="42"/>
    <n v="20"/>
    <n v="6"/>
    <n v="2"/>
    <n v="210"/>
    <n v="7"/>
    <n v="0"/>
    <n v="0"/>
    <x v="0"/>
    <n v="61.86"/>
  </r>
  <r>
    <n v="237"/>
    <x v="16"/>
    <x v="0"/>
    <n v="18"/>
    <n v="7"/>
    <n v="1"/>
    <n v="2"/>
    <n v="257.10000000000002"/>
    <n v="2"/>
    <n v="0"/>
    <n v="0"/>
    <x v="0"/>
    <n v="60.88"/>
  </r>
  <r>
    <n v="238"/>
    <x v="16"/>
    <x v="9"/>
    <n v="51"/>
    <n v="43"/>
    <n v="4"/>
    <n v="1"/>
    <n v="118.6"/>
    <n v="11"/>
    <n v="1"/>
    <n v="0"/>
    <x v="0"/>
    <n v="60.1"/>
  </r>
  <r>
    <n v="239"/>
    <x v="16"/>
    <x v="13"/>
    <n v="70"/>
    <n v="44"/>
    <n v="6"/>
    <n v="3"/>
    <n v="159.1"/>
    <n v="10"/>
    <n v="1"/>
    <n v="0"/>
    <x v="1"/>
    <n v="63.27"/>
  </r>
  <r>
    <n v="240"/>
    <x v="16"/>
    <x v="13"/>
    <n v="42"/>
    <n v="27"/>
    <n v="2"/>
    <n v="4"/>
    <n v="155.6"/>
    <n v="11"/>
    <n v="0"/>
    <n v="0"/>
    <x v="0"/>
    <n v="61.92"/>
  </r>
  <r>
    <n v="241"/>
    <x v="16"/>
    <x v="6"/>
    <n v="92"/>
    <n v="47"/>
    <n v="7"/>
    <n v="6"/>
    <n v="195.7"/>
    <n v="11"/>
    <n v="1"/>
    <n v="0"/>
    <x v="0"/>
    <n v="64.36"/>
  </r>
  <r>
    <n v="242"/>
    <x v="16"/>
    <x v="4"/>
    <n v="27"/>
    <n v="13"/>
    <n v="1"/>
    <n v="3"/>
    <n v="207.7"/>
    <n v="5"/>
    <n v="0"/>
    <n v="0"/>
    <x v="0"/>
    <n v="63.73"/>
  </r>
  <r>
    <n v="243"/>
    <x v="16"/>
    <x v="3"/>
    <n v="47"/>
    <n v="29"/>
    <n v="3"/>
    <n v="4"/>
    <n v="162.1"/>
    <n v="11"/>
    <n v="0"/>
    <n v="0"/>
    <x v="0"/>
    <n v="62.92"/>
  </r>
  <r>
    <n v="244"/>
    <x v="16"/>
    <x v="2"/>
    <n v="33"/>
    <n v="24"/>
    <n v="3"/>
    <n v="1"/>
    <n v="137.5"/>
    <n v="7"/>
    <n v="0"/>
    <n v="0"/>
    <x v="0"/>
    <n v="61.75"/>
  </r>
  <r>
    <n v="245"/>
    <x v="17"/>
    <x v="0"/>
    <n v="59"/>
    <n v="36"/>
    <n v="5"/>
    <n v="1"/>
    <n v="163.89"/>
    <n v="8"/>
    <n v="1"/>
    <n v="0"/>
    <x v="1"/>
    <n v="59"/>
  </r>
  <r>
    <n v="246"/>
    <x v="17"/>
    <x v="3"/>
    <n v="31"/>
    <n v="30"/>
    <n v="2"/>
    <n v="1"/>
    <n v="103.33"/>
    <n v="11"/>
    <n v="0"/>
    <n v="0"/>
    <x v="0"/>
    <n v="90"/>
  </r>
  <r>
    <n v="247"/>
    <x v="17"/>
    <x v="13"/>
    <n v="7"/>
    <n v="6"/>
    <n v="1"/>
    <n v="0"/>
    <n v="116.67"/>
    <n v="2"/>
    <n v="0"/>
    <n v="0"/>
    <x v="0"/>
    <n v="48.5"/>
  </r>
  <r>
    <n v="248"/>
    <x v="17"/>
    <x v="1"/>
    <n v="67"/>
    <n v="42"/>
    <n v="8"/>
    <n v="2"/>
    <n v="159.52000000000001"/>
    <n v="11"/>
    <n v="1"/>
    <n v="0"/>
    <x v="0"/>
    <n v="54.67"/>
  </r>
  <r>
    <n v="249"/>
    <x v="17"/>
    <x v="4"/>
    <n v="22"/>
    <n v="14"/>
    <n v="1"/>
    <n v="2"/>
    <n v="157.13999999999999"/>
    <n v="2"/>
    <n v="0"/>
    <n v="0"/>
    <x v="0"/>
    <n v="46.5"/>
  </r>
  <r>
    <n v="250"/>
    <x v="17"/>
    <x v="2"/>
    <n v="62"/>
    <n v="45"/>
    <n v="4"/>
    <n v="2"/>
    <n v="137.78"/>
    <n v="13"/>
    <n v="1"/>
    <n v="0"/>
    <x v="1"/>
    <n v="62"/>
  </r>
  <r>
    <n v="251"/>
    <x v="17"/>
    <x v="6"/>
    <n v="1"/>
    <n v="3"/>
    <n v="0"/>
    <n v="0"/>
    <n v="33.33"/>
    <n v="1"/>
    <n v="0"/>
    <n v="0"/>
    <x v="0"/>
    <n v="49.8"/>
  </r>
  <r>
    <n v="252"/>
    <x v="17"/>
    <x v="6"/>
    <n v="73"/>
    <n v="54"/>
    <n v="7"/>
    <n v="1"/>
    <n v="135.19"/>
    <n v="12"/>
    <n v="1"/>
    <n v="0"/>
    <x v="1"/>
    <n v="64.400000000000006"/>
  </r>
  <r>
    <n v="253"/>
    <x v="17"/>
    <x v="2"/>
    <n v="70"/>
    <n v="42"/>
    <n v="8"/>
    <n v="2"/>
    <n v="166.67"/>
    <n v="10"/>
    <n v="1"/>
    <n v="0"/>
    <x v="0"/>
    <n v="65.33"/>
  </r>
  <r>
    <n v="254"/>
    <x v="17"/>
    <x v="4"/>
    <n v="51"/>
    <n v="47"/>
    <n v="4"/>
    <n v="0"/>
    <n v="108.51"/>
    <n v="14"/>
    <n v="1"/>
    <n v="0"/>
    <x v="0"/>
    <n v="63.29"/>
  </r>
  <r>
    <n v="255"/>
    <x v="17"/>
    <x v="3"/>
    <n v="62"/>
    <n v="33"/>
    <n v="5"/>
    <n v="5"/>
    <n v="187.88"/>
    <n v="3"/>
    <n v="1"/>
    <n v="0"/>
    <x v="0"/>
    <n v="63.12"/>
  </r>
  <r>
    <n v="256"/>
    <x v="17"/>
    <x v="9"/>
    <n v="43"/>
    <n v="25"/>
    <n v="7"/>
    <n v="1"/>
    <n v="172"/>
    <n v="6"/>
    <n v="0"/>
    <n v="0"/>
    <x v="0"/>
    <n v="60.89"/>
  </r>
  <r>
    <n v="257"/>
    <x v="17"/>
    <x v="12"/>
    <n v="54"/>
    <n v="30"/>
    <n v="10"/>
    <n v="0"/>
    <n v="180"/>
    <n v="15"/>
    <n v="1"/>
    <n v="0"/>
    <x v="0"/>
    <n v="60.2"/>
  </r>
  <r>
    <n v="258"/>
    <x v="17"/>
    <x v="6"/>
    <n v="12"/>
    <n v="12"/>
    <n v="2"/>
    <n v="0"/>
    <n v="100"/>
    <n v="6"/>
    <n v="0"/>
    <n v="0"/>
    <x v="0"/>
    <n v="55.82"/>
  </r>
  <r>
    <n v="259"/>
    <x v="17"/>
    <x v="6"/>
    <n v="43"/>
    <n v="35"/>
    <n v="3"/>
    <n v="0"/>
    <n v="122.86"/>
    <n v="9"/>
    <n v="0"/>
    <n v="0"/>
    <x v="0"/>
    <n v="54.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D5E824-721F-4C6D-8E93-8D7518279555}"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6" firstHeaderRow="1" firstDataRow="1" firstDataCol="1"/>
  <pivotFields count="13">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Run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EA474C-71C4-4F3F-BBA0-849FB761BE51}"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6" firstHeaderRow="0" firstDataRow="1" firstDataCol="1"/>
  <pivotFields count="13">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uns" fld="3" baseField="0" baseItem="0"/>
    <dataField name="Sum of Balls"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F7DC9-635D-4F1F-A5CD-AE9B958779C2}"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13">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Dot Ball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BCCC1-DC10-42C6-8F1C-8D226A92E26B}"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1" firstHeaderRow="1" firstDataRow="1" firstDataCol="1"/>
  <pivotFields count="13">
    <pivotField showAll="0"/>
    <pivotField showAll="0"/>
    <pivotField axis="axisRow" showAll="0">
      <items count="8">
        <item x="3"/>
        <item x="5"/>
        <item x="4"/>
        <item x="0"/>
        <item x="6"/>
        <item x="1"/>
        <item x="2"/>
        <item t="default"/>
      </items>
    </pivotField>
    <pivotField dataField="1"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Runs" fld="3" baseField="0" baseItem="0"/>
  </dataFields>
  <chartFormats count="8">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 chart="0" format="8">
      <pivotArea type="data" outline="0" fieldPosition="0">
        <references count="2">
          <reference field="4294967294" count="1" selected="0">
            <x v="0"/>
          </reference>
          <reference field="2" count="1" selected="0">
            <x v="5"/>
          </reference>
        </references>
      </pivotArea>
    </chartFormat>
    <chartFormat chart="0" format="9">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C82387-EDC3-4ED9-A6F9-23C455C235DD}"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13">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Average of Batting Average" fld="12" subtotal="average" baseField="0" baseItem="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7B928A-35FA-40AC-9C79-E42DDD61550E}"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16" firstHeaderRow="0" firstDataRow="1" firstDataCol="1"/>
  <pivotFields count="13">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Runs" fld="3" baseField="0" baseItem="0"/>
    <dataField name="Sum of Balls" fld="4" baseField="0" baseItem="0"/>
    <dataField name="Average of SR" fld="7"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A09274-7188-4FD9-9186-E73E2910E328}" name="PivotTable2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6" firstHeaderRow="0" firstDataRow="1" firstDataCol="1"/>
  <pivotFields count="13">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50s" fld="9" baseField="0" baseItem="0"/>
    <dataField name="Sum of 100s"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44171B-BEF5-44F7-B557-417743BEC738}" name="PivotTable1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6" firstHeaderRow="0" firstDataRow="1" firstDataCol="1"/>
  <pivotFields count="13">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4s" fld="5" baseField="0" baseItem="0"/>
    <dataField name="Sum of 6s"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91E318-86AB-483B-9D87-1649B0A89BBB}"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6:H76" firstHeaderRow="1" firstDataRow="1" firstDataCol="1"/>
  <pivotFields count="2">
    <pivotField axis="axisRow" showAll="0">
      <items count="20">
        <item x="0"/>
        <item x="1"/>
        <item x="2"/>
        <item x="3"/>
        <item x="4"/>
        <item x="5"/>
        <item x="6"/>
        <item x="7"/>
        <item x="8"/>
        <item x="9"/>
        <item x="10"/>
        <item x="11"/>
        <item x="12"/>
        <item x="13"/>
        <item x="14"/>
        <item x="15"/>
        <item x="16"/>
        <item x="17"/>
        <item x="18"/>
        <item t="default"/>
      </items>
    </pivotField>
    <pivotField dataField="1" numFmtId="2"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Batting AVG" fld="1"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4EBE2E-44DC-417C-BBBF-F43D07B2D0B0}" name="PivotTable2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56:D76" firstHeaderRow="1" firstDataRow="1" firstDataCol="1"/>
  <pivotFields count="2">
    <pivotField axis="axisRow" showAll="0">
      <items count="20">
        <item x="0"/>
        <item x="1"/>
        <item x="2"/>
        <item x="3"/>
        <item x="4"/>
        <item x="5"/>
        <item x="6"/>
        <item x="7"/>
        <item x="8"/>
        <item x="9"/>
        <item x="10"/>
        <item x="11"/>
        <item x="12"/>
        <item x="13"/>
        <item x="14"/>
        <item x="15"/>
        <item x="16"/>
        <item x="17"/>
        <item x="18"/>
        <item t="default"/>
      </items>
    </pivotField>
    <pivotField dataField="1" numFmtId="2"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Strike Rate" fld="1" subtotal="average" baseField="0"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8E1716-E564-482B-B017-E1EB94FEF715}"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27:I29" firstHeaderRow="0"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s>
  <rowFields count="1">
    <field x="1"/>
  </rowFields>
  <rowItems count="2">
    <i>
      <x v="8"/>
    </i>
    <i t="grand">
      <x/>
    </i>
  </rowItems>
  <colFields count="1">
    <field x="-2"/>
  </colFields>
  <colItems count="2">
    <i>
      <x/>
    </i>
    <i i="1">
      <x v="1"/>
    </i>
  </colItems>
  <dataFields count="2">
    <dataField name="Sum of Balls" fld="4" baseField="0" baseItem="0"/>
    <dataField name="Sum of Dot Balls" fld="8" baseField="0" baseItem="0"/>
  </dataFields>
  <formats count="9">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89DA98-2B9B-4E35-B9B0-ADE3B4F0D8EA}"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11" firstHeaderRow="1" firstDataRow="1" firstDataCol="1"/>
  <pivotFields count="13">
    <pivotField dataField="1" showAll="0"/>
    <pivotField showAll="0">
      <items count="19">
        <item h="1" x="0"/>
        <item h="1" x="1"/>
        <item h="1" x="2"/>
        <item h="1" x="3"/>
        <item h="1" x="4"/>
        <item h="1" x="5"/>
        <item h="1" x="6"/>
        <item h="1" x="7"/>
        <item x="8"/>
        <item h="1" x="9"/>
        <item h="1" x="10"/>
        <item h="1" x="11"/>
        <item h="1" x="12"/>
        <item h="1" x="13"/>
        <item h="1" x="14"/>
        <item h="1" x="15"/>
        <item h="1" x="16"/>
        <item h="1" x="17"/>
        <item t="default"/>
      </items>
    </pivotField>
    <pivotField axis="axisRow" showAll="0">
      <items count="16">
        <item x="3"/>
        <item x="5"/>
        <item x="4"/>
        <item x="11"/>
        <item x="13"/>
        <item x="0"/>
        <item x="7"/>
        <item x="6"/>
        <item m="1" x="14"/>
        <item x="12"/>
        <item x="1"/>
        <item x="8"/>
        <item x="10"/>
        <item x="2"/>
        <item x="9"/>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8">
    <i>
      <x v="2"/>
    </i>
    <i>
      <x v="3"/>
    </i>
    <i>
      <x v="5"/>
    </i>
    <i>
      <x v="7"/>
    </i>
    <i>
      <x v="10"/>
    </i>
    <i>
      <x v="12"/>
    </i>
    <i>
      <x v="14"/>
    </i>
    <i t="grand">
      <x/>
    </i>
  </rowItems>
  <colItems count="1">
    <i/>
  </colItems>
  <dataFields count="1">
    <dataField name="Count of No of  Match" fld="0" subtotal="count" baseField="2" baseItem="0"/>
  </dataFields>
  <formats count="9">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C3F4CB-50C1-4423-9341-7CD797964EA1}"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H11" firstHeaderRow="1" firstDataRow="1" firstDataCol="1"/>
  <pivotFields count="13">
    <pivotField showAll="0"/>
    <pivotField showAll="0">
      <items count="19">
        <item h="1" x="0"/>
        <item h="1" x="1"/>
        <item h="1" x="2"/>
        <item h="1" x="3"/>
        <item h="1" x="4"/>
        <item h="1" x="5"/>
        <item h="1" x="6"/>
        <item h="1" x="7"/>
        <item x="8"/>
        <item h="1" x="9"/>
        <item h="1" x="10"/>
        <item h="1" x="11"/>
        <item h="1" x="12"/>
        <item h="1" x="13"/>
        <item h="1" x="14"/>
        <item h="1" x="15"/>
        <item h="1" x="16"/>
        <item h="1" x="17"/>
        <item t="default"/>
      </items>
    </pivotField>
    <pivotField axis="axisRow" showAll="0">
      <items count="16">
        <item x="3"/>
        <item x="5"/>
        <item x="4"/>
        <item x="11"/>
        <item x="13"/>
        <item x="0"/>
        <item x="7"/>
        <item x="6"/>
        <item m="1" x="14"/>
        <item x="12"/>
        <item x="1"/>
        <item x="8"/>
        <item x="10"/>
        <item x="2"/>
        <item x="9"/>
        <item t="default"/>
      </items>
    </pivotField>
    <pivotField dataField="1" showAll="0"/>
    <pivotField showAll="0"/>
    <pivotField showAll="0"/>
    <pivotField showAll="0"/>
    <pivotField showAll="0"/>
    <pivotField showAll="0"/>
    <pivotField showAll="0"/>
    <pivotField showAll="0"/>
    <pivotField showAll="0"/>
    <pivotField showAll="0"/>
  </pivotFields>
  <rowFields count="1">
    <field x="2"/>
  </rowFields>
  <rowItems count="8">
    <i>
      <x v="2"/>
    </i>
    <i>
      <x v="3"/>
    </i>
    <i>
      <x v="5"/>
    </i>
    <i>
      <x v="7"/>
    </i>
    <i>
      <x v="10"/>
    </i>
    <i>
      <x v="12"/>
    </i>
    <i>
      <x v="14"/>
    </i>
    <i t="grand">
      <x/>
    </i>
  </rowItems>
  <colItems count="1">
    <i/>
  </colItems>
  <dataFields count="1">
    <dataField name="Sum of Runs" fld="3" baseField="0" baseItem="0"/>
  </dataFields>
  <formats count="9">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chartFormats count="15">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2">
          <reference field="4294967294" count="1" selected="0">
            <x v="0"/>
          </reference>
          <reference field="2" count="1" selected="0">
            <x v="3"/>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 chart="2" format="22">
      <pivotArea type="data" outline="0" fieldPosition="0">
        <references count="2">
          <reference field="4294967294" count="1" selected="0">
            <x v="0"/>
          </reference>
          <reference field="2" count="1" selected="0">
            <x v="5"/>
          </reference>
        </references>
      </pivotArea>
    </chartFormat>
    <chartFormat chart="2" format="23">
      <pivotArea type="data" outline="0" fieldPosition="0">
        <references count="2">
          <reference field="4294967294" count="1" selected="0">
            <x v="0"/>
          </reference>
          <reference field="2" count="1" selected="0">
            <x v="6"/>
          </reference>
        </references>
      </pivotArea>
    </chartFormat>
    <chartFormat chart="2" format="24">
      <pivotArea type="data" outline="0" fieldPosition="0">
        <references count="2">
          <reference field="4294967294" count="1" selected="0">
            <x v="0"/>
          </reference>
          <reference field="2" count="1" selected="0">
            <x v="7"/>
          </reference>
        </references>
      </pivotArea>
    </chartFormat>
    <chartFormat chart="2" format="25">
      <pivotArea type="data" outline="0" fieldPosition="0">
        <references count="2">
          <reference field="4294967294" count="1" selected="0">
            <x v="0"/>
          </reference>
          <reference field="2" count="1" selected="0">
            <x v="9"/>
          </reference>
        </references>
      </pivotArea>
    </chartFormat>
    <chartFormat chart="2" format="26">
      <pivotArea type="data" outline="0" fieldPosition="0">
        <references count="2">
          <reference field="4294967294" count="1" selected="0">
            <x v="0"/>
          </reference>
          <reference field="2" count="1" selected="0">
            <x v="10"/>
          </reference>
        </references>
      </pivotArea>
    </chartFormat>
    <chartFormat chart="2" format="27">
      <pivotArea type="data" outline="0" fieldPosition="0">
        <references count="2">
          <reference field="4294967294" count="1" selected="0">
            <x v="0"/>
          </reference>
          <reference field="2" count="1" selected="0">
            <x v="11"/>
          </reference>
        </references>
      </pivotArea>
    </chartFormat>
    <chartFormat chart="2" format="28">
      <pivotArea type="data" outline="0" fieldPosition="0">
        <references count="2">
          <reference field="4294967294" count="1" selected="0">
            <x v="0"/>
          </reference>
          <reference field="2" count="1" selected="0">
            <x v="12"/>
          </reference>
        </references>
      </pivotArea>
    </chartFormat>
    <chartFormat chart="2" format="29">
      <pivotArea type="data" outline="0" fieldPosition="0">
        <references count="2">
          <reference field="4294967294" count="1" selected="0">
            <x v="0"/>
          </reference>
          <reference field="2" count="1" selected="0">
            <x v="13"/>
          </reference>
        </references>
      </pivotArea>
    </chartFormat>
    <chartFormat chart="2" format="30">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25311C-A2B4-47F6-82E2-A81F488DA0FC}"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3:N5" firstHeaderRow="1"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2">
    <i>
      <x v="8"/>
    </i>
    <i t="grand">
      <x/>
    </i>
  </rowItems>
  <colItems count="1">
    <i/>
  </colItems>
  <dataFields count="1">
    <dataField name="Sum of 50s" fld="9" baseField="0" baseItem="0"/>
  </dataFields>
  <formats count="9">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7437F9-3161-4E96-8423-CC98DB497A09}"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K5" firstHeaderRow="1"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2">
    <i>
      <x v="8"/>
    </i>
    <i t="grand">
      <x/>
    </i>
  </rowItems>
  <colItems count="1">
    <i/>
  </colItems>
  <dataFields count="1">
    <dataField name="Sum of Runs" fld="3" baseField="0" baseItem="0"/>
  </dataFields>
  <formats count="9">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B52557-0966-4A90-BAE6-BA6ED9D94C6A}"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5" firstHeaderRow="1" firstDataRow="1" firstDataCol="1"/>
  <pivotFields count="13">
    <pivotField dataField="1"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8"/>
    </i>
    <i t="grand">
      <x/>
    </i>
  </rowItems>
  <colItems count="1">
    <i/>
  </colItems>
  <dataFields count="1">
    <dataField name="No of Innings Played" fld="0" subtotal="count" baseField="0" baseItem="0"/>
  </dataFields>
  <formats count="9">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0200A3C-D76D-4BC0-8B61-C00DA4642990}"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27:L32" firstHeaderRow="1"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s>
  <rowFields count="2">
    <field x="11"/>
    <field x="1"/>
  </rowFields>
  <rowItems count="5">
    <i>
      <x/>
    </i>
    <i r="1">
      <x v="8"/>
    </i>
    <i>
      <x v="1"/>
    </i>
    <i r="1">
      <x v="8"/>
    </i>
    <i t="grand">
      <x/>
    </i>
  </rowItems>
  <colItems count="1">
    <i/>
  </colItems>
  <dataFields count="1">
    <dataField name="Count of Out/Not Out" fld="11" subtotal="count" baseField="0" baseItem="0"/>
  </dataFields>
  <formats count="9">
    <format dxfId="76">
      <pivotArea type="all" dataOnly="0" outline="0" fieldPosition="0"/>
    </format>
    <format dxfId="75">
      <pivotArea outline="0" collapsedLevelsAreSubtotals="1"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AD18405-DA60-405D-A9CE-0D6ABC54B0B0}"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7:E29" firstHeaderRow="1"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2">
    <i>
      <x v="8"/>
    </i>
    <i t="grand">
      <x/>
    </i>
  </rowItems>
  <colItems count="1">
    <i/>
  </colItems>
  <dataFields count="1">
    <dataField name="Sum of 6s" fld="6" baseField="0" baseItem="0"/>
  </dataFields>
  <formats count="9">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6341B96-80A7-41C4-847D-262F78DD3DAF}"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7:B29" firstHeaderRow="1"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2">
    <i>
      <x v="8"/>
    </i>
    <i t="grand">
      <x/>
    </i>
  </rowItems>
  <colItems count="1">
    <i/>
  </colItems>
  <dataFields count="1">
    <dataField name="Sum of 4s" fld="5" baseField="0" baseItem="0"/>
  </dataFields>
  <formats count="9">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7B60E63-C769-4440-88F9-6DCE1E45720A}"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P3:Q5" firstHeaderRow="1" firstDataRow="1" firstDataCol="1"/>
  <pivotFields count="13">
    <pivotField showAll="0"/>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2">
    <i>
      <x v="8"/>
    </i>
    <i t="grand">
      <x/>
    </i>
  </rowItems>
  <colItems count="1">
    <i/>
  </colItems>
  <dataFields count="1">
    <dataField name="Sum of 100s" fld="10" baseField="0" baseItem="0"/>
  </dataFields>
  <formats count="9">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9D094C-82F6-4A73-9AAE-C7620B4F7A1A}" sourceName="Year">
  <pivotTables>
    <pivotTable tabId="30" name="PivotTable1"/>
    <pivotTable tabId="30" name="PivotTable10"/>
    <pivotTable tabId="30" name="PivotTable11"/>
    <pivotTable tabId="30" name="PivotTable12"/>
    <pivotTable tabId="30" name="PivotTable3"/>
    <pivotTable tabId="30" name="PivotTable4"/>
    <pivotTable tabId="30" name="PivotTable6"/>
    <pivotTable tabId="30" name="PivotTable7"/>
    <pivotTable tabId="30" name="PivotTable8"/>
    <pivotTable tabId="30" name="PivotTable9"/>
  </pivotTables>
  <data>
    <tabular pivotCacheId="786323821">
      <items count="18">
        <i x="0"/>
        <i x="1"/>
        <i x="2"/>
        <i x="3"/>
        <i x="4"/>
        <i x="5"/>
        <i x="6"/>
        <i x="7"/>
        <i x="8" s="1"/>
        <i x="9"/>
        <i x="10"/>
        <i x="11"/>
        <i x="12"/>
        <i x="13"/>
        <i x="14"/>
        <i x="15"/>
        <i x="16"/>
        <i x="1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D3D56D-8E92-4336-9F5B-0850FD3D082F}" cache="Slicer_Year" caption="Year"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E62BDD-D36A-416F-9C3B-D5AB6C239ADE}" name="Table3" displayName="Table3" ref="A1:M260" totalsRowShown="0" headerRowDxfId="121" dataDxfId="119" headerRowBorderDxfId="120" tableBorderDxfId="118" totalsRowBorderDxfId="117">
  <autoFilter ref="A1:M260" xr:uid="{16E62BDD-D36A-416F-9C3B-D5AB6C239ADE}"/>
  <tableColumns count="13">
    <tableColumn id="1" xr3:uid="{AB46156E-B584-42E4-8162-7136207CDCD6}" name="No of  Match" dataDxfId="116"/>
    <tableColumn id="2" xr3:uid="{CC841EAA-F2EC-4627-9700-F43A287A8436}" name="Year" dataDxfId="115"/>
    <tableColumn id="3" xr3:uid="{4F0C6F66-B65B-4E17-82C4-FC45E0DA4CEB}" name="Opponent" dataDxfId="114"/>
    <tableColumn id="4" xr3:uid="{0C607D96-D061-41DE-A192-DBC787795ABA}" name="Runs" dataDxfId="113"/>
    <tableColumn id="5" xr3:uid="{ADDD0F1D-EEAA-4324-AE2F-A9F795B51788}" name="Balls" dataDxfId="112"/>
    <tableColumn id="6" xr3:uid="{9A740079-2A89-481F-BF97-E22C18984422}" name="4s" dataDxfId="111"/>
    <tableColumn id="7" xr3:uid="{69033EB6-8C9A-47D4-B4EB-267EB4A6C184}" name="6s" dataDxfId="110"/>
    <tableColumn id="8" xr3:uid="{6481299B-BCDF-465C-AD02-71802E6B3E91}" name="SR" dataDxfId="109"/>
    <tableColumn id="9" xr3:uid="{D0EDF34E-FA67-495A-9C65-501CC9D90C2E}" name="Dot Balls" dataDxfId="108"/>
    <tableColumn id="10" xr3:uid="{726C58BD-5EA2-4C12-A111-989D4E2445FB}" name="50s" dataDxfId="107"/>
    <tableColumn id="11" xr3:uid="{0ACDD0BF-A843-4C0C-B131-6780B90B0A4C}" name="100s" dataDxfId="106"/>
    <tableColumn id="12" xr3:uid="{C1A1C1EC-88C0-4330-8CC0-0BFDB407EEE7}" name="Out/Not Out" dataDxfId="105"/>
    <tableColumn id="13" xr3:uid="{CEBB174A-47AB-4E73-8D74-E4BB0A8C6803}" name="Batting Average" dataDxfId="10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F54146-8B51-4B36-AE8F-FAD42A42886A}" name="Table4" displayName="Table4" ref="N27:O46" totalsRowShown="0" headerRowDxfId="11" headerRowBorderDxfId="10" tableBorderDxfId="9" totalsRowBorderDxfId="8">
  <autoFilter ref="N27:O46" xr:uid="{63F54146-8B51-4B36-AE8F-FAD42A42886A}"/>
  <tableColumns count="2">
    <tableColumn id="1" xr3:uid="{9D4210E1-4018-45B8-975D-9902C33127E9}" name="Year" dataDxfId="7"/>
    <tableColumn id="2" xr3:uid="{630A5190-EDDF-40B1-95B7-4280ABE240A6}" name="Strike Rate" dataDxf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50685E-C295-4CF0-BD42-71A1EAC7F15F}" name="Table5" displayName="Table5" ref="Q27:R46" totalsRowShown="0" headerRowDxfId="5" headerRowBorderDxfId="4" tableBorderDxfId="3" totalsRowBorderDxfId="2">
  <autoFilter ref="Q27:R46" xr:uid="{4450685E-C295-4CF0-BD42-71A1EAC7F15F}"/>
  <tableColumns count="2">
    <tableColumn id="1" xr3:uid="{45D26235-3E42-4640-AFBE-BC10EBE982A8}" name="Year" dataDxfId="1"/>
    <tableColumn id="2" xr3:uid="{9DAA8672-CE4E-4B78-A2E1-589D4E67C76E}" name="Batting AV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8.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table" Target="../tables/table2.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table" Target="../tables/table3.xml"/></Relationships>
</file>

<file path=xl/worksheets/_rels/sheet2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262F-2F53-4734-99B6-0C93E3CCF3E5}">
  <dimension ref="A3:B16"/>
  <sheetViews>
    <sheetView topLeftCell="K1" workbookViewId="0">
      <selection activeCell="N2" sqref="N2"/>
    </sheetView>
  </sheetViews>
  <sheetFormatPr defaultRowHeight="14.4" x14ac:dyDescent="0.3"/>
  <cols>
    <col min="1" max="1" width="12.5546875" bestFit="1" customWidth="1"/>
    <col min="2" max="2" width="11.5546875" bestFit="1" customWidth="1"/>
  </cols>
  <sheetData>
    <row r="3" spans="1:2" x14ac:dyDescent="0.3">
      <c r="A3" s="3" t="s">
        <v>23</v>
      </c>
      <c r="B3" t="s">
        <v>22</v>
      </c>
    </row>
    <row r="4" spans="1:2" x14ac:dyDescent="0.3">
      <c r="A4" s="4">
        <v>1</v>
      </c>
      <c r="B4">
        <v>1</v>
      </c>
    </row>
    <row r="5" spans="1:2" x14ac:dyDescent="0.3">
      <c r="A5" s="4">
        <v>2</v>
      </c>
      <c r="B5">
        <v>23</v>
      </c>
    </row>
    <row r="6" spans="1:2" x14ac:dyDescent="0.3">
      <c r="A6" s="4">
        <v>3</v>
      </c>
      <c r="B6">
        <v>13</v>
      </c>
    </row>
    <row r="7" spans="1:2" x14ac:dyDescent="0.3">
      <c r="A7" s="4">
        <v>4</v>
      </c>
      <c r="B7">
        <v>12</v>
      </c>
    </row>
    <row r="8" spans="1:2" x14ac:dyDescent="0.3">
      <c r="A8" s="4">
        <v>5</v>
      </c>
      <c r="B8">
        <v>1</v>
      </c>
    </row>
    <row r="9" spans="1:2" x14ac:dyDescent="0.3">
      <c r="A9" s="4">
        <v>6</v>
      </c>
      <c r="B9">
        <v>38</v>
      </c>
    </row>
    <row r="10" spans="1:2" x14ac:dyDescent="0.3">
      <c r="A10" s="4">
        <v>7</v>
      </c>
      <c r="B10">
        <v>34</v>
      </c>
    </row>
    <row r="11" spans="1:2" x14ac:dyDescent="0.3">
      <c r="A11" s="4">
        <v>8</v>
      </c>
      <c r="B11">
        <v>21</v>
      </c>
    </row>
    <row r="12" spans="1:2" x14ac:dyDescent="0.3">
      <c r="A12" s="4">
        <v>9</v>
      </c>
      <c r="B12">
        <v>3</v>
      </c>
    </row>
    <row r="13" spans="1:2" x14ac:dyDescent="0.3">
      <c r="A13" s="4">
        <v>10</v>
      </c>
      <c r="B13">
        <v>10</v>
      </c>
    </row>
    <row r="14" spans="1:2" x14ac:dyDescent="0.3">
      <c r="A14" s="4">
        <v>11</v>
      </c>
      <c r="B14">
        <v>9</v>
      </c>
    </row>
    <row r="15" spans="1:2" x14ac:dyDescent="0.3">
      <c r="A15" s="4">
        <v>12</v>
      </c>
      <c r="B15">
        <v>0</v>
      </c>
    </row>
    <row r="16" spans="1:2" x14ac:dyDescent="0.3">
      <c r="A16" s="4" t="s">
        <v>24</v>
      </c>
      <c r="B16">
        <v>165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AB53-8607-4ABF-8F39-530492BDD052}">
  <dimension ref="A3:C16"/>
  <sheetViews>
    <sheetView workbookViewId="0">
      <selection activeCell="E26" sqref="E26"/>
    </sheetView>
  </sheetViews>
  <sheetFormatPr defaultRowHeight="14.4" x14ac:dyDescent="0.3"/>
  <cols>
    <col min="1" max="1" width="12.5546875" bestFit="1" customWidth="1"/>
    <col min="2" max="2" width="11.5546875" bestFit="1" customWidth="1"/>
    <col min="3" max="3" width="11.21875" bestFit="1" customWidth="1"/>
  </cols>
  <sheetData>
    <row r="3" spans="1:3" x14ac:dyDescent="0.3">
      <c r="A3" s="3" t="s">
        <v>23</v>
      </c>
      <c r="B3" t="s">
        <v>22</v>
      </c>
      <c r="C3" t="s">
        <v>25</v>
      </c>
    </row>
    <row r="4" spans="1:3" x14ac:dyDescent="0.3">
      <c r="A4" s="4">
        <v>1</v>
      </c>
      <c r="B4">
        <v>1</v>
      </c>
      <c r="C4">
        <v>5</v>
      </c>
    </row>
    <row r="5" spans="1:3" x14ac:dyDescent="0.3">
      <c r="A5" s="4">
        <v>2</v>
      </c>
      <c r="B5">
        <v>23</v>
      </c>
      <c r="C5">
        <v>14</v>
      </c>
    </row>
    <row r="6" spans="1:3" x14ac:dyDescent="0.3">
      <c r="A6" s="4">
        <v>3</v>
      </c>
      <c r="B6">
        <v>13</v>
      </c>
      <c r="C6">
        <v>14</v>
      </c>
    </row>
    <row r="7" spans="1:3" x14ac:dyDescent="0.3">
      <c r="A7" s="4">
        <v>4</v>
      </c>
      <c r="B7">
        <v>12</v>
      </c>
      <c r="C7">
        <v>7</v>
      </c>
    </row>
    <row r="8" spans="1:3" x14ac:dyDescent="0.3">
      <c r="A8" s="4">
        <v>5</v>
      </c>
      <c r="B8">
        <v>1</v>
      </c>
      <c r="C8">
        <v>1</v>
      </c>
    </row>
    <row r="9" spans="1:3" x14ac:dyDescent="0.3">
      <c r="A9" s="4">
        <v>6</v>
      </c>
      <c r="B9">
        <v>38</v>
      </c>
      <c r="C9">
        <v>29</v>
      </c>
    </row>
    <row r="10" spans="1:3" x14ac:dyDescent="0.3">
      <c r="A10" s="4">
        <v>7</v>
      </c>
      <c r="B10">
        <v>34</v>
      </c>
      <c r="C10">
        <v>36</v>
      </c>
    </row>
    <row r="11" spans="1:3" x14ac:dyDescent="0.3">
      <c r="A11" s="4">
        <v>8</v>
      </c>
      <c r="B11">
        <v>21</v>
      </c>
      <c r="C11">
        <v>22</v>
      </c>
    </row>
    <row r="12" spans="1:3" x14ac:dyDescent="0.3">
      <c r="A12" s="4">
        <v>9</v>
      </c>
      <c r="B12">
        <v>3</v>
      </c>
      <c r="C12">
        <v>7</v>
      </c>
    </row>
    <row r="13" spans="1:3" x14ac:dyDescent="0.3">
      <c r="A13" s="4">
        <v>10</v>
      </c>
      <c r="B13">
        <v>10</v>
      </c>
      <c r="C13">
        <v>16</v>
      </c>
    </row>
    <row r="14" spans="1:3" x14ac:dyDescent="0.3">
      <c r="A14" s="4">
        <v>11</v>
      </c>
      <c r="B14">
        <v>9</v>
      </c>
      <c r="C14">
        <v>5</v>
      </c>
    </row>
    <row r="15" spans="1:3" x14ac:dyDescent="0.3">
      <c r="A15" s="4">
        <v>12</v>
      </c>
      <c r="B15">
        <v>0</v>
      </c>
      <c r="C15">
        <v>1</v>
      </c>
    </row>
    <row r="16" spans="1:3" x14ac:dyDescent="0.3">
      <c r="A16" s="4" t="s">
        <v>24</v>
      </c>
      <c r="B16">
        <v>165</v>
      </c>
      <c r="C16">
        <v>157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F998-5A61-4882-B5B5-1F5D2C4E0CBB}">
  <dimension ref="A3:B16"/>
  <sheetViews>
    <sheetView workbookViewId="0">
      <selection activeCell="M8" sqref="M8"/>
    </sheetView>
  </sheetViews>
  <sheetFormatPr defaultRowHeight="14.4" x14ac:dyDescent="0.3"/>
  <cols>
    <col min="1" max="1" width="12.5546875" bestFit="1" customWidth="1"/>
    <col min="2" max="2" width="14.77734375" bestFit="1" customWidth="1"/>
  </cols>
  <sheetData>
    <row r="3" spans="1:2" x14ac:dyDescent="0.3">
      <c r="A3" s="3" t="s">
        <v>23</v>
      </c>
      <c r="B3" t="s">
        <v>26</v>
      </c>
    </row>
    <row r="4" spans="1:2" x14ac:dyDescent="0.3">
      <c r="A4" s="4">
        <v>1</v>
      </c>
      <c r="B4">
        <v>4</v>
      </c>
    </row>
    <row r="5" spans="1:2" x14ac:dyDescent="0.3">
      <c r="A5" s="4">
        <v>2</v>
      </c>
      <c r="B5">
        <v>10</v>
      </c>
    </row>
    <row r="6" spans="1:2" x14ac:dyDescent="0.3">
      <c r="A6" s="4">
        <v>3</v>
      </c>
      <c r="B6">
        <v>13</v>
      </c>
    </row>
    <row r="7" spans="1:2" x14ac:dyDescent="0.3">
      <c r="A7" s="4">
        <v>4</v>
      </c>
      <c r="B7">
        <v>5</v>
      </c>
    </row>
    <row r="8" spans="1:2" x14ac:dyDescent="0.3">
      <c r="A8" s="4">
        <v>5</v>
      </c>
      <c r="B8">
        <v>0</v>
      </c>
    </row>
    <row r="9" spans="1:2" x14ac:dyDescent="0.3">
      <c r="A9" s="4">
        <v>6</v>
      </c>
      <c r="B9">
        <v>26</v>
      </c>
    </row>
    <row r="10" spans="1:2" x14ac:dyDescent="0.3">
      <c r="A10" s="4">
        <v>7</v>
      </c>
      <c r="B10">
        <v>31</v>
      </c>
    </row>
    <row r="11" spans="1:2" x14ac:dyDescent="0.3">
      <c r="A11" s="4">
        <v>8</v>
      </c>
      <c r="B11">
        <v>18</v>
      </c>
    </row>
    <row r="12" spans="1:2" x14ac:dyDescent="0.3">
      <c r="A12" s="4">
        <v>9</v>
      </c>
      <c r="B12">
        <v>7</v>
      </c>
    </row>
    <row r="13" spans="1:2" x14ac:dyDescent="0.3">
      <c r="A13" s="4">
        <v>10</v>
      </c>
      <c r="B13">
        <v>15</v>
      </c>
    </row>
    <row r="14" spans="1:2" x14ac:dyDescent="0.3">
      <c r="A14" s="4">
        <v>11</v>
      </c>
      <c r="B14">
        <v>3</v>
      </c>
    </row>
    <row r="15" spans="1:2" x14ac:dyDescent="0.3">
      <c r="A15" s="4">
        <v>12</v>
      </c>
      <c r="B15">
        <v>1</v>
      </c>
    </row>
    <row r="16" spans="1:2" x14ac:dyDescent="0.3">
      <c r="A16" s="4" t="s">
        <v>24</v>
      </c>
      <c r="B16">
        <v>133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D87A-3219-4A77-9983-08DAC65CF4B5}">
  <dimension ref="A3:B11"/>
  <sheetViews>
    <sheetView workbookViewId="0">
      <selection activeCell="M14" sqref="M14"/>
    </sheetView>
  </sheetViews>
  <sheetFormatPr defaultRowHeight="14.4" x14ac:dyDescent="0.3"/>
  <cols>
    <col min="1" max="1" width="12.5546875" bestFit="1" customWidth="1"/>
    <col min="2" max="2" width="11.5546875" bestFit="1" customWidth="1"/>
    <col min="3" max="3" width="17.88671875" bestFit="1" customWidth="1"/>
  </cols>
  <sheetData>
    <row r="3" spans="1:2" x14ac:dyDescent="0.3">
      <c r="A3" s="3" t="s">
        <v>23</v>
      </c>
      <c r="B3" t="s">
        <v>22</v>
      </c>
    </row>
    <row r="4" spans="1:2" x14ac:dyDescent="0.3">
      <c r="A4" s="4" t="s">
        <v>15</v>
      </c>
      <c r="B4">
        <v>22</v>
      </c>
    </row>
    <row r="5" spans="1:2" x14ac:dyDescent="0.3">
      <c r="A5" s="4" t="s">
        <v>17</v>
      </c>
      <c r="B5">
        <v>47</v>
      </c>
    </row>
    <row r="6" spans="1:2" x14ac:dyDescent="0.3">
      <c r="A6" s="4" t="s">
        <v>16</v>
      </c>
      <c r="B6">
        <v>1</v>
      </c>
    </row>
    <row r="7" spans="1:2" x14ac:dyDescent="0.3">
      <c r="A7" s="4" t="s">
        <v>12</v>
      </c>
      <c r="B7">
        <v>1</v>
      </c>
    </row>
    <row r="8" spans="1:2" x14ac:dyDescent="0.3">
      <c r="A8" s="4" t="s">
        <v>18</v>
      </c>
      <c r="B8">
        <v>55</v>
      </c>
    </row>
    <row r="9" spans="1:2" x14ac:dyDescent="0.3">
      <c r="A9" s="4" t="s">
        <v>13</v>
      </c>
      <c r="B9">
        <v>23</v>
      </c>
    </row>
    <row r="10" spans="1:2" x14ac:dyDescent="0.3">
      <c r="A10" s="4" t="s">
        <v>14</v>
      </c>
      <c r="B10">
        <v>16</v>
      </c>
    </row>
    <row r="11" spans="1:2" x14ac:dyDescent="0.3">
      <c r="A11" s="4" t="s">
        <v>24</v>
      </c>
      <c r="B11">
        <v>165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510AD-4771-41B0-9AF2-4EE72AFBA7AD}">
  <dimension ref="A3:B16"/>
  <sheetViews>
    <sheetView workbookViewId="0">
      <selection activeCell="B4" sqref="B4"/>
    </sheetView>
  </sheetViews>
  <sheetFormatPr defaultRowHeight="14.4" x14ac:dyDescent="0.3"/>
  <cols>
    <col min="1" max="1" width="12.5546875" bestFit="1" customWidth="1"/>
    <col min="2" max="2" width="24.21875" bestFit="1" customWidth="1"/>
  </cols>
  <sheetData>
    <row r="3" spans="1:2" x14ac:dyDescent="0.3">
      <c r="A3" s="3" t="s">
        <v>23</v>
      </c>
      <c r="B3" t="s">
        <v>27</v>
      </c>
    </row>
    <row r="4" spans="1:2" x14ac:dyDescent="0.3">
      <c r="A4" s="4">
        <v>1</v>
      </c>
      <c r="B4">
        <v>1</v>
      </c>
    </row>
    <row r="5" spans="1:2" x14ac:dyDescent="0.3">
      <c r="A5" s="4">
        <v>2</v>
      </c>
      <c r="B5">
        <v>12</v>
      </c>
    </row>
    <row r="6" spans="1:2" x14ac:dyDescent="0.3">
      <c r="A6" s="4">
        <v>3</v>
      </c>
      <c r="B6">
        <v>12.33</v>
      </c>
    </row>
    <row r="7" spans="1:2" x14ac:dyDescent="0.3">
      <c r="A7" s="4">
        <v>4</v>
      </c>
      <c r="B7">
        <v>12.25</v>
      </c>
    </row>
    <row r="8" spans="1:2" x14ac:dyDescent="0.3">
      <c r="A8" s="4">
        <v>5</v>
      </c>
      <c r="B8">
        <v>12.4</v>
      </c>
    </row>
    <row r="9" spans="1:2" x14ac:dyDescent="0.3">
      <c r="A9" s="4">
        <v>6</v>
      </c>
      <c r="B9">
        <v>14.33</v>
      </c>
    </row>
    <row r="10" spans="1:2" x14ac:dyDescent="0.3">
      <c r="A10" s="4">
        <v>7</v>
      </c>
      <c r="B10">
        <v>13.33</v>
      </c>
    </row>
    <row r="11" spans="1:2" x14ac:dyDescent="0.3">
      <c r="A11" s="4">
        <v>8</v>
      </c>
      <c r="B11">
        <v>12.5</v>
      </c>
    </row>
    <row r="12" spans="1:2" x14ac:dyDescent="0.3">
      <c r="A12" s="4">
        <v>9</v>
      </c>
      <c r="B12">
        <v>11.75</v>
      </c>
    </row>
    <row r="13" spans="1:2" x14ac:dyDescent="0.3">
      <c r="A13" s="4">
        <v>10</v>
      </c>
      <c r="B13">
        <v>11.64</v>
      </c>
    </row>
    <row r="14" spans="1:2" x14ac:dyDescent="0.3">
      <c r="A14" s="4">
        <v>11</v>
      </c>
      <c r="B14">
        <v>11.8</v>
      </c>
    </row>
    <row r="15" spans="1:2" x14ac:dyDescent="0.3">
      <c r="A15" s="4">
        <v>12</v>
      </c>
      <c r="B15">
        <v>11.64</v>
      </c>
    </row>
    <row r="16" spans="1:2" x14ac:dyDescent="0.3">
      <c r="A16" s="4" t="s">
        <v>24</v>
      </c>
      <c r="B16">
        <v>11.414166666666667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C4446-CB6D-47AC-A0D1-0BBD938BC3ED}">
  <dimension ref="A3:D16"/>
  <sheetViews>
    <sheetView workbookViewId="0">
      <selection activeCell="O14" sqref="O14"/>
    </sheetView>
  </sheetViews>
  <sheetFormatPr defaultRowHeight="14.4" x14ac:dyDescent="0.3"/>
  <cols>
    <col min="1" max="1" width="12.5546875" bestFit="1" customWidth="1"/>
    <col min="2" max="2" width="11.5546875" bestFit="1" customWidth="1"/>
    <col min="3" max="3" width="11.21875" bestFit="1" customWidth="1"/>
    <col min="4" max="4" width="12.6640625" bestFit="1" customWidth="1"/>
  </cols>
  <sheetData>
    <row r="3" spans="1:4" x14ac:dyDescent="0.3">
      <c r="A3" s="3" t="s">
        <v>23</v>
      </c>
      <c r="B3" t="s">
        <v>22</v>
      </c>
      <c r="C3" t="s">
        <v>25</v>
      </c>
      <c r="D3" t="s">
        <v>28</v>
      </c>
    </row>
    <row r="4" spans="1:4" x14ac:dyDescent="0.3">
      <c r="A4" s="4">
        <v>1</v>
      </c>
      <c r="B4">
        <v>1</v>
      </c>
      <c r="C4">
        <v>5</v>
      </c>
      <c r="D4">
        <v>20</v>
      </c>
    </row>
    <row r="5" spans="1:4" x14ac:dyDescent="0.3">
      <c r="A5" s="4">
        <v>2</v>
      </c>
      <c r="B5">
        <v>23</v>
      </c>
      <c r="C5">
        <v>14</v>
      </c>
      <c r="D5">
        <v>164.29</v>
      </c>
    </row>
    <row r="6" spans="1:4" x14ac:dyDescent="0.3">
      <c r="A6" s="4">
        <v>3</v>
      </c>
      <c r="B6">
        <v>13</v>
      </c>
      <c r="C6">
        <v>14</v>
      </c>
      <c r="D6">
        <v>92.86</v>
      </c>
    </row>
    <row r="7" spans="1:4" x14ac:dyDescent="0.3">
      <c r="A7" s="4">
        <v>4</v>
      </c>
      <c r="B7">
        <v>12</v>
      </c>
      <c r="C7">
        <v>7</v>
      </c>
      <c r="D7">
        <v>171.43</v>
      </c>
    </row>
    <row r="8" spans="1:4" x14ac:dyDescent="0.3">
      <c r="A8" s="4">
        <v>5</v>
      </c>
      <c r="B8">
        <v>1</v>
      </c>
      <c r="C8">
        <v>1</v>
      </c>
      <c r="D8">
        <v>100</v>
      </c>
    </row>
    <row r="9" spans="1:4" x14ac:dyDescent="0.3">
      <c r="A9" s="4">
        <v>6</v>
      </c>
      <c r="B9">
        <v>38</v>
      </c>
      <c r="C9">
        <v>29</v>
      </c>
      <c r="D9">
        <v>131.03</v>
      </c>
    </row>
    <row r="10" spans="1:4" x14ac:dyDescent="0.3">
      <c r="A10" s="4">
        <v>7</v>
      </c>
      <c r="B10">
        <v>34</v>
      </c>
      <c r="C10">
        <v>36</v>
      </c>
      <c r="D10">
        <v>94.44</v>
      </c>
    </row>
    <row r="11" spans="1:4" x14ac:dyDescent="0.3">
      <c r="A11" s="4">
        <v>8</v>
      </c>
      <c r="B11">
        <v>21</v>
      </c>
      <c r="C11">
        <v>22</v>
      </c>
      <c r="D11">
        <v>95.45</v>
      </c>
    </row>
    <row r="12" spans="1:4" x14ac:dyDescent="0.3">
      <c r="A12" s="4">
        <v>9</v>
      </c>
      <c r="B12">
        <v>3</v>
      </c>
      <c r="C12">
        <v>7</v>
      </c>
      <c r="D12">
        <v>42.86</v>
      </c>
    </row>
    <row r="13" spans="1:4" x14ac:dyDescent="0.3">
      <c r="A13" s="4">
        <v>10</v>
      </c>
      <c r="B13">
        <v>10</v>
      </c>
      <c r="C13">
        <v>16</v>
      </c>
      <c r="D13">
        <v>62.5</v>
      </c>
    </row>
    <row r="14" spans="1:4" x14ac:dyDescent="0.3">
      <c r="A14" s="4">
        <v>11</v>
      </c>
      <c r="B14">
        <v>9</v>
      </c>
      <c r="C14">
        <v>5</v>
      </c>
      <c r="D14">
        <v>180</v>
      </c>
    </row>
    <row r="15" spans="1:4" x14ac:dyDescent="0.3">
      <c r="A15" s="4">
        <v>12</v>
      </c>
      <c r="B15">
        <v>0</v>
      </c>
      <c r="C15">
        <v>1</v>
      </c>
      <c r="D15">
        <v>0</v>
      </c>
    </row>
    <row r="16" spans="1:4" x14ac:dyDescent="0.3">
      <c r="A16" s="4" t="s">
        <v>24</v>
      </c>
      <c r="B16">
        <v>165</v>
      </c>
      <c r="C16">
        <v>157</v>
      </c>
      <c r="D16">
        <v>96.238333333333344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919B-401C-45DB-ADC0-A317738734C5}">
  <dimension ref="A3:C16"/>
  <sheetViews>
    <sheetView workbookViewId="0">
      <selection activeCell="N14" sqref="N14"/>
    </sheetView>
  </sheetViews>
  <sheetFormatPr defaultRowHeight="14.4" x14ac:dyDescent="0.3"/>
  <cols>
    <col min="1" max="1" width="12.5546875" bestFit="1" customWidth="1"/>
    <col min="2" max="2" width="10.21875" bestFit="1" customWidth="1"/>
    <col min="3" max="3" width="11.21875" bestFit="1" customWidth="1"/>
    <col min="4" max="4" width="10.77734375" bestFit="1" customWidth="1"/>
  </cols>
  <sheetData>
    <row r="3" spans="1:3" x14ac:dyDescent="0.3">
      <c r="A3" s="3" t="s">
        <v>23</v>
      </c>
      <c r="B3" t="s">
        <v>31</v>
      </c>
      <c r="C3" t="s">
        <v>32</v>
      </c>
    </row>
    <row r="4" spans="1:3" x14ac:dyDescent="0.3">
      <c r="A4" s="4">
        <v>1</v>
      </c>
      <c r="B4">
        <v>0</v>
      </c>
      <c r="C4">
        <v>0</v>
      </c>
    </row>
    <row r="5" spans="1:3" x14ac:dyDescent="0.3">
      <c r="A5" s="4">
        <v>2</v>
      </c>
      <c r="B5">
        <v>0</v>
      </c>
      <c r="C5">
        <v>0</v>
      </c>
    </row>
    <row r="6" spans="1:3" x14ac:dyDescent="0.3">
      <c r="A6" s="4">
        <v>3</v>
      </c>
      <c r="B6">
        <v>0</v>
      </c>
      <c r="C6">
        <v>0</v>
      </c>
    </row>
    <row r="7" spans="1:3" x14ac:dyDescent="0.3">
      <c r="A7" s="4">
        <v>4</v>
      </c>
      <c r="B7">
        <v>0</v>
      </c>
      <c r="C7">
        <v>0</v>
      </c>
    </row>
    <row r="8" spans="1:3" x14ac:dyDescent="0.3">
      <c r="A8" s="4">
        <v>5</v>
      </c>
      <c r="B8">
        <v>0</v>
      </c>
      <c r="C8">
        <v>0</v>
      </c>
    </row>
    <row r="9" spans="1:3" x14ac:dyDescent="0.3">
      <c r="A9" s="4">
        <v>6</v>
      </c>
      <c r="B9">
        <v>0</v>
      </c>
      <c r="C9">
        <v>0</v>
      </c>
    </row>
    <row r="10" spans="1:3" x14ac:dyDescent="0.3">
      <c r="A10" s="4">
        <v>7</v>
      </c>
      <c r="B10">
        <v>0</v>
      </c>
      <c r="C10">
        <v>0</v>
      </c>
    </row>
    <row r="11" spans="1:3" x14ac:dyDescent="0.3">
      <c r="A11" s="4">
        <v>8</v>
      </c>
      <c r="B11">
        <v>0</v>
      </c>
      <c r="C11">
        <v>0</v>
      </c>
    </row>
    <row r="12" spans="1:3" x14ac:dyDescent="0.3">
      <c r="A12" s="4">
        <v>9</v>
      </c>
      <c r="B12">
        <v>0</v>
      </c>
      <c r="C12">
        <v>0</v>
      </c>
    </row>
    <row r="13" spans="1:3" x14ac:dyDescent="0.3">
      <c r="A13" s="4">
        <v>10</v>
      </c>
      <c r="B13">
        <v>0</v>
      </c>
      <c r="C13">
        <v>0</v>
      </c>
    </row>
    <row r="14" spans="1:3" x14ac:dyDescent="0.3">
      <c r="A14" s="4">
        <v>11</v>
      </c>
      <c r="B14">
        <v>0</v>
      </c>
      <c r="C14">
        <v>0</v>
      </c>
    </row>
    <row r="15" spans="1:3" x14ac:dyDescent="0.3">
      <c r="A15" s="4">
        <v>12</v>
      </c>
      <c r="B15">
        <v>0</v>
      </c>
      <c r="C15">
        <v>0</v>
      </c>
    </row>
    <row r="16" spans="1:3" x14ac:dyDescent="0.3">
      <c r="A16" s="4" t="s">
        <v>24</v>
      </c>
      <c r="B16">
        <v>0</v>
      </c>
      <c r="C16">
        <v>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873D-A7AA-47DF-9924-65B12C99A57D}">
  <dimension ref="A3:C16"/>
  <sheetViews>
    <sheetView workbookViewId="0">
      <selection activeCell="O6" sqref="O6"/>
    </sheetView>
  </sheetViews>
  <sheetFormatPr defaultRowHeight="14.4" x14ac:dyDescent="0.3"/>
  <cols>
    <col min="1" max="1" width="12.5546875" bestFit="1" customWidth="1"/>
    <col min="2" max="3" width="9.21875" bestFit="1" customWidth="1"/>
  </cols>
  <sheetData>
    <row r="3" spans="1:3" x14ac:dyDescent="0.3">
      <c r="A3" s="3" t="s">
        <v>23</v>
      </c>
      <c r="B3" t="s">
        <v>29</v>
      </c>
      <c r="C3" t="s">
        <v>30</v>
      </c>
    </row>
    <row r="4" spans="1:3" x14ac:dyDescent="0.3">
      <c r="A4" s="4">
        <v>1</v>
      </c>
      <c r="B4">
        <v>0</v>
      </c>
      <c r="C4">
        <v>0</v>
      </c>
    </row>
    <row r="5" spans="1:3" x14ac:dyDescent="0.3">
      <c r="A5" s="4">
        <v>2</v>
      </c>
      <c r="B5">
        <v>3</v>
      </c>
      <c r="C5">
        <v>1</v>
      </c>
    </row>
    <row r="6" spans="1:3" x14ac:dyDescent="0.3">
      <c r="A6" s="4">
        <v>3</v>
      </c>
      <c r="B6">
        <v>0</v>
      </c>
      <c r="C6">
        <v>1</v>
      </c>
    </row>
    <row r="7" spans="1:3" x14ac:dyDescent="0.3">
      <c r="A7" s="4">
        <v>4</v>
      </c>
      <c r="B7">
        <v>2</v>
      </c>
      <c r="C7">
        <v>0</v>
      </c>
    </row>
    <row r="8" spans="1:3" x14ac:dyDescent="0.3">
      <c r="A8" s="4">
        <v>5</v>
      </c>
      <c r="B8">
        <v>0</v>
      </c>
      <c r="C8">
        <v>0</v>
      </c>
    </row>
    <row r="9" spans="1:3" x14ac:dyDescent="0.3">
      <c r="A9" s="4">
        <v>6</v>
      </c>
      <c r="B9">
        <v>1</v>
      </c>
      <c r="C9">
        <v>2</v>
      </c>
    </row>
    <row r="10" spans="1:3" x14ac:dyDescent="0.3">
      <c r="A10" s="4">
        <v>7</v>
      </c>
      <c r="B10">
        <v>5</v>
      </c>
      <c r="C10">
        <v>0</v>
      </c>
    </row>
    <row r="11" spans="1:3" x14ac:dyDescent="0.3">
      <c r="A11" s="4">
        <v>8</v>
      </c>
      <c r="B11">
        <v>4</v>
      </c>
      <c r="C11">
        <v>0</v>
      </c>
    </row>
    <row r="12" spans="1:3" x14ac:dyDescent="0.3">
      <c r="A12" s="4">
        <v>9</v>
      </c>
      <c r="B12">
        <v>0</v>
      </c>
      <c r="C12">
        <v>0</v>
      </c>
    </row>
    <row r="13" spans="1:3" x14ac:dyDescent="0.3">
      <c r="A13" s="4">
        <v>10</v>
      </c>
      <c r="B13">
        <v>1</v>
      </c>
      <c r="C13">
        <v>0</v>
      </c>
    </row>
    <row r="14" spans="1:3" x14ac:dyDescent="0.3">
      <c r="A14" s="4">
        <v>11</v>
      </c>
      <c r="B14">
        <v>2</v>
      </c>
      <c r="C14">
        <v>0</v>
      </c>
    </row>
    <row r="15" spans="1:3" x14ac:dyDescent="0.3">
      <c r="A15" s="4">
        <v>12</v>
      </c>
      <c r="B15">
        <v>0</v>
      </c>
      <c r="C15">
        <v>0</v>
      </c>
    </row>
    <row r="16" spans="1:3" x14ac:dyDescent="0.3">
      <c r="A16" s="4" t="s">
        <v>24</v>
      </c>
      <c r="B16">
        <v>18</v>
      </c>
      <c r="C16">
        <v>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zoomScale="90" zoomScaleNormal="90" workbookViewId="0">
      <selection activeCell="M17" sqref="M17"/>
    </sheetView>
  </sheetViews>
  <sheetFormatPr defaultRowHeight="14.4" x14ac:dyDescent="0.3"/>
  <cols>
    <col min="1" max="1" width="6.88671875" bestFit="1" customWidth="1"/>
    <col min="2" max="2" width="12" bestFit="1" customWidth="1"/>
    <col min="3" max="3" width="11.6640625" bestFit="1" customWidth="1"/>
    <col min="7" max="7" width="7" bestFit="1" customWidth="1"/>
    <col min="8" max="8" width="10.44140625" bestFit="1" customWidth="1"/>
    <col min="9" max="9" width="20.44140625" bestFit="1" customWidth="1"/>
    <col min="10" max="10" width="6" bestFit="1" customWidth="1"/>
    <col min="11" max="12" width="14.6640625" bestFit="1" customWidth="1"/>
    <col min="13" max="13" width="18.21875" bestFit="1" customWidth="1"/>
    <col min="14" max="14" width="19.77734375" bestFit="1" customWidth="1"/>
  </cols>
  <sheetData>
    <row r="1" spans="1:13" ht="18" x14ac:dyDescent="0.3">
      <c r="A1" s="2" t="s">
        <v>21</v>
      </c>
      <c r="B1" s="2" t="s">
        <v>61</v>
      </c>
      <c r="C1" s="2" t="s">
        <v>1</v>
      </c>
      <c r="D1" s="2" t="s">
        <v>2</v>
      </c>
      <c r="E1" s="2" t="s">
        <v>3</v>
      </c>
      <c r="F1" s="2" t="s">
        <v>4</v>
      </c>
      <c r="G1" s="2" t="s">
        <v>5</v>
      </c>
      <c r="H1" s="2" t="s">
        <v>6</v>
      </c>
      <c r="I1" s="2" t="s">
        <v>7</v>
      </c>
      <c r="J1" s="2" t="s">
        <v>8</v>
      </c>
      <c r="K1" s="2" t="s">
        <v>9</v>
      </c>
      <c r="L1" s="2" t="s">
        <v>10</v>
      </c>
      <c r="M1" s="2" t="s">
        <v>11</v>
      </c>
    </row>
    <row r="2" spans="1:13" x14ac:dyDescent="0.3">
      <c r="A2" s="1">
        <v>1</v>
      </c>
      <c r="B2" s="1">
        <v>2008</v>
      </c>
      <c r="C2" s="1" t="s">
        <v>12</v>
      </c>
      <c r="D2" s="1">
        <v>1</v>
      </c>
      <c r="E2" s="1">
        <v>5</v>
      </c>
      <c r="F2" s="1">
        <v>0</v>
      </c>
      <c r="G2" s="1">
        <v>0</v>
      </c>
      <c r="H2" s="1">
        <v>20</v>
      </c>
      <c r="I2" s="1">
        <v>4</v>
      </c>
      <c r="J2" s="1">
        <v>0</v>
      </c>
      <c r="K2" s="1">
        <v>0</v>
      </c>
      <c r="L2" s="1" t="s">
        <v>20</v>
      </c>
      <c r="M2" s="1">
        <v>1</v>
      </c>
    </row>
    <row r="3" spans="1:13" x14ac:dyDescent="0.3">
      <c r="A3" s="1">
        <v>2</v>
      </c>
      <c r="B3" s="1">
        <v>2008</v>
      </c>
      <c r="C3" s="1" t="s">
        <v>13</v>
      </c>
      <c r="D3" s="1">
        <v>23</v>
      </c>
      <c r="E3" s="1">
        <v>14</v>
      </c>
      <c r="F3" s="1">
        <v>3</v>
      </c>
      <c r="G3" s="1">
        <v>1</v>
      </c>
      <c r="H3" s="1">
        <v>164.29</v>
      </c>
      <c r="I3" s="1">
        <v>10</v>
      </c>
      <c r="J3" s="1">
        <v>0</v>
      </c>
      <c r="K3" s="1">
        <v>0</v>
      </c>
      <c r="L3" s="1" t="s">
        <v>20</v>
      </c>
      <c r="M3" s="1">
        <v>12</v>
      </c>
    </row>
    <row r="4" spans="1:13" x14ac:dyDescent="0.3">
      <c r="A4" s="1">
        <v>3</v>
      </c>
      <c r="B4" s="1">
        <v>2008</v>
      </c>
      <c r="C4" s="1" t="s">
        <v>14</v>
      </c>
      <c r="D4" s="1">
        <v>13</v>
      </c>
      <c r="E4" s="1">
        <v>14</v>
      </c>
      <c r="F4" s="1">
        <v>0</v>
      </c>
      <c r="G4" s="1">
        <v>1</v>
      </c>
      <c r="H4" s="1">
        <v>92.86</v>
      </c>
      <c r="I4" s="1">
        <v>13</v>
      </c>
      <c r="J4" s="1">
        <v>0</v>
      </c>
      <c r="K4" s="1">
        <v>0</v>
      </c>
      <c r="L4" s="1" t="s">
        <v>20</v>
      </c>
      <c r="M4" s="1">
        <v>12.33</v>
      </c>
    </row>
    <row r="5" spans="1:13" x14ac:dyDescent="0.3">
      <c r="A5" s="1">
        <v>4</v>
      </c>
      <c r="B5" s="1">
        <v>2008</v>
      </c>
      <c r="C5" s="1" t="s">
        <v>15</v>
      </c>
      <c r="D5" s="1">
        <v>12</v>
      </c>
      <c r="E5" s="1">
        <v>7</v>
      </c>
      <c r="F5" s="1">
        <v>2</v>
      </c>
      <c r="G5" s="1">
        <v>0</v>
      </c>
      <c r="H5" s="1">
        <v>171.43</v>
      </c>
      <c r="I5" s="1">
        <v>5</v>
      </c>
      <c r="J5" s="1">
        <v>0</v>
      </c>
      <c r="K5" s="1">
        <v>0</v>
      </c>
      <c r="L5" s="1" t="s">
        <v>20</v>
      </c>
      <c r="M5" s="1">
        <v>12.25</v>
      </c>
    </row>
    <row r="6" spans="1:13" x14ac:dyDescent="0.3">
      <c r="A6" s="1">
        <v>5</v>
      </c>
      <c r="B6" s="1">
        <v>2008</v>
      </c>
      <c r="C6" s="1" t="s">
        <v>16</v>
      </c>
      <c r="D6" s="1">
        <v>1</v>
      </c>
      <c r="E6" s="1">
        <v>1</v>
      </c>
      <c r="F6" s="1">
        <v>0</v>
      </c>
      <c r="G6" s="1">
        <v>0</v>
      </c>
      <c r="H6" s="1">
        <v>100</v>
      </c>
      <c r="I6" s="1">
        <v>0</v>
      </c>
      <c r="J6" s="1">
        <v>0</v>
      </c>
      <c r="K6" s="1">
        <v>0</v>
      </c>
      <c r="L6" s="1" t="s">
        <v>19</v>
      </c>
      <c r="M6" s="1">
        <v>12.4</v>
      </c>
    </row>
    <row r="7" spans="1:13" x14ac:dyDescent="0.3">
      <c r="A7" s="1">
        <v>6</v>
      </c>
      <c r="B7" s="1">
        <v>2008</v>
      </c>
      <c r="C7" s="1" t="s">
        <v>17</v>
      </c>
      <c r="D7" s="1">
        <v>38</v>
      </c>
      <c r="E7" s="1">
        <v>29</v>
      </c>
      <c r="F7" s="1">
        <v>1</v>
      </c>
      <c r="G7" s="1">
        <v>2</v>
      </c>
      <c r="H7" s="1">
        <v>131.03</v>
      </c>
      <c r="I7" s="1">
        <v>26</v>
      </c>
      <c r="J7" s="1">
        <v>0</v>
      </c>
      <c r="K7" s="1">
        <v>0</v>
      </c>
      <c r="L7" s="1" t="s">
        <v>20</v>
      </c>
      <c r="M7" s="1">
        <v>14.33</v>
      </c>
    </row>
    <row r="8" spans="1:13" x14ac:dyDescent="0.3">
      <c r="A8" s="1">
        <v>7</v>
      </c>
      <c r="B8" s="1">
        <v>2008</v>
      </c>
      <c r="C8" s="1" t="s">
        <v>18</v>
      </c>
      <c r="D8" s="1">
        <v>34</v>
      </c>
      <c r="E8" s="1">
        <v>36</v>
      </c>
      <c r="F8" s="1">
        <v>5</v>
      </c>
      <c r="G8" s="1">
        <v>0</v>
      </c>
      <c r="H8" s="1">
        <v>94.44</v>
      </c>
      <c r="I8" s="1">
        <v>31</v>
      </c>
      <c r="J8" s="1">
        <v>0</v>
      </c>
      <c r="K8" s="1">
        <v>0</v>
      </c>
      <c r="L8" s="1" t="s">
        <v>20</v>
      </c>
      <c r="M8" s="1">
        <v>13.33</v>
      </c>
    </row>
    <row r="9" spans="1:13" x14ac:dyDescent="0.3">
      <c r="A9" s="1">
        <v>8</v>
      </c>
      <c r="B9" s="1">
        <v>2008</v>
      </c>
      <c r="C9" s="1" t="s">
        <v>18</v>
      </c>
      <c r="D9" s="1">
        <v>21</v>
      </c>
      <c r="E9" s="1">
        <v>22</v>
      </c>
      <c r="F9" s="1">
        <v>4</v>
      </c>
      <c r="G9" s="1">
        <v>0</v>
      </c>
      <c r="H9" s="1">
        <v>95.45</v>
      </c>
      <c r="I9" s="1">
        <v>18</v>
      </c>
      <c r="J9" s="1">
        <v>0</v>
      </c>
      <c r="K9" s="1">
        <v>0</v>
      </c>
      <c r="L9" s="1" t="s">
        <v>20</v>
      </c>
      <c r="M9" s="1">
        <v>12.5</v>
      </c>
    </row>
    <row r="10" spans="1:13" x14ac:dyDescent="0.3">
      <c r="A10" s="1">
        <v>9</v>
      </c>
      <c r="B10" s="1">
        <v>2008</v>
      </c>
      <c r="C10" s="1" t="s">
        <v>14</v>
      </c>
      <c r="D10" s="1">
        <v>3</v>
      </c>
      <c r="E10" s="1">
        <v>7</v>
      </c>
      <c r="F10" s="1">
        <v>0</v>
      </c>
      <c r="G10" s="1">
        <v>0</v>
      </c>
      <c r="H10" s="1">
        <v>42.86</v>
      </c>
      <c r="I10" s="1">
        <v>7</v>
      </c>
      <c r="J10" s="1">
        <v>0</v>
      </c>
      <c r="K10" s="1">
        <v>0</v>
      </c>
      <c r="L10" s="1" t="s">
        <v>20</v>
      </c>
      <c r="M10" s="1">
        <v>11.75</v>
      </c>
    </row>
    <row r="11" spans="1:13" x14ac:dyDescent="0.3">
      <c r="A11" s="1">
        <v>10</v>
      </c>
      <c r="B11" s="1">
        <v>2008</v>
      </c>
      <c r="C11" s="1" t="s">
        <v>15</v>
      </c>
      <c r="D11" s="1">
        <v>10</v>
      </c>
      <c r="E11" s="1">
        <v>16</v>
      </c>
      <c r="F11" s="1">
        <v>1</v>
      </c>
      <c r="G11" s="1">
        <v>0</v>
      </c>
      <c r="H11" s="1">
        <v>62.5</v>
      </c>
      <c r="I11" s="1">
        <v>15</v>
      </c>
      <c r="J11" s="1">
        <v>0</v>
      </c>
      <c r="K11" s="1">
        <v>0</v>
      </c>
      <c r="L11" s="1" t="s">
        <v>20</v>
      </c>
      <c r="M11" s="1">
        <v>11.64</v>
      </c>
    </row>
    <row r="12" spans="1:13" x14ac:dyDescent="0.3">
      <c r="A12" s="1">
        <v>11</v>
      </c>
      <c r="B12" s="1">
        <v>2008</v>
      </c>
      <c r="C12" s="1" t="s">
        <v>17</v>
      </c>
      <c r="D12" s="1">
        <v>9</v>
      </c>
      <c r="E12" s="1">
        <v>5</v>
      </c>
      <c r="F12" s="1">
        <v>2</v>
      </c>
      <c r="G12" s="1">
        <v>0</v>
      </c>
      <c r="H12" s="1">
        <v>180</v>
      </c>
      <c r="I12" s="1">
        <v>3</v>
      </c>
      <c r="J12" s="1">
        <v>0</v>
      </c>
      <c r="K12" s="1">
        <v>0</v>
      </c>
      <c r="L12" s="1" t="s">
        <v>20</v>
      </c>
      <c r="M12" s="1">
        <v>11.8</v>
      </c>
    </row>
    <row r="13" spans="1:13" x14ac:dyDescent="0.3">
      <c r="A13" s="1">
        <v>12</v>
      </c>
      <c r="B13" s="1">
        <v>2008</v>
      </c>
      <c r="C13" s="1" t="s">
        <v>13</v>
      </c>
      <c r="D13" s="1">
        <v>0</v>
      </c>
      <c r="E13" s="1">
        <v>1</v>
      </c>
      <c r="F13" s="1">
        <v>0</v>
      </c>
      <c r="G13" s="1">
        <v>0</v>
      </c>
      <c r="H13" s="1">
        <v>0</v>
      </c>
      <c r="I13" s="1">
        <v>1</v>
      </c>
      <c r="J13" s="1">
        <v>0</v>
      </c>
      <c r="K13" s="1">
        <v>0</v>
      </c>
      <c r="L13" s="1" t="s">
        <v>20</v>
      </c>
      <c r="M13" s="1">
        <v>11.64</v>
      </c>
    </row>
    <row r="14" spans="1:13" x14ac:dyDescent="0.3">
      <c r="A14" s="5"/>
      <c r="B14" s="5"/>
      <c r="C14" s="5"/>
      <c r="D14" s="5"/>
      <c r="E14" s="5"/>
      <c r="F14" s="5"/>
      <c r="G14" s="5"/>
      <c r="H14" s="5"/>
      <c r="I14" s="5"/>
      <c r="J14" s="5"/>
      <c r="K14" s="5"/>
      <c r="L14" s="5"/>
      <c r="M14" s="5"/>
    </row>
    <row r="17" spans="3:13" x14ac:dyDescent="0.3">
      <c r="C17" t="s">
        <v>86</v>
      </c>
      <c r="D17" s="19">
        <f>SUM(D2:D13)/SUM(E2:E13)*100</f>
        <v>105.09554140127389</v>
      </c>
      <c r="L17" t="s">
        <v>88</v>
      </c>
      <c r="M17">
        <f>M13</f>
        <v>11.64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F4CF3-5F80-411E-8D20-27627A95A830}">
  <dimension ref="A1:M17"/>
  <sheetViews>
    <sheetView workbookViewId="0">
      <selection activeCell="M18" sqref="M18"/>
    </sheetView>
  </sheetViews>
  <sheetFormatPr defaultRowHeight="14.4" x14ac:dyDescent="0.3"/>
  <cols>
    <col min="1" max="1" width="6.88671875" bestFit="1" customWidth="1"/>
    <col min="2" max="2" width="12.33203125" bestFit="1" customWidth="1"/>
    <col min="3" max="3" width="14.33203125" bestFit="1" customWidth="1"/>
    <col min="4" max="4" width="6.5546875" bestFit="1" customWidth="1"/>
    <col min="5" max="5" width="6" bestFit="1" customWidth="1"/>
    <col min="6" max="7" width="3.33203125" bestFit="1" customWidth="1"/>
    <col min="8" max="8" width="6" bestFit="1" customWidth="1"/>
    <col min="9" max="9" width="10.44140625" bestFit="1" customWidth="1"/>
    <col min="10" max="10" width="4.6640625" bestFit="1" customWidth="1"/>
    <col min="11" max="11" width="6" bestFit="1" customWidth="1"/>
    <col min="12" max="12" width="14.6640625" bestFit="1" customWidth="1"/>
    <col min="13" max="13" width="18.21875" bestFit="1" customWidth="1"/>
  </cols>
  <sheetData>
    <row r="1" spans="1:13" ht="18" x14ac:dyDescent="0.3">
      <c r="A1" s="2" t="s">
        <v>21</v>
      </c>
      <c r="B1" s="2" t="s">
        <v>61</v>
      </c>
      <c r="C1" s="2" t="s">
        <v>1</v>
      </c>
      <c r="D1" s="2" t="s">
        <v>2</v>
      </c>
      <c r="E1" s="2" t="s">
        <v>3</v>
      </c>
      <c r="F1" s="2" t="s">
        <v>4</v>
      </c>
      <c r="G1" s="2" t="s">
        <v>5</v>
      </c>
      <c r="H1" s="2" t="s">
        <v>6</v>
      </c>
      <c r="I1" s="2" t="s">
        <v>7</v>
      </c>
      <c r="J1" s="2" t="s">
        <v>8</v>
      </c>
      <c r="K1" s="2" t="s">
        <v>9</v>
      </c>
      <c r="L1" s="2" t="s">
        <v>10</v>
      </c>
      <c r="M1" s="2" t="s">
        <v>11</v>
      </c>
    </row>
    <row r="2" spans="1:13" x14ac:dyDescent="0.3">
      <c r="A2" s="1">
        <v>1</v>
      </c>
      <c r="B2" s="1">
        <v>2009</v>
      </c>
      <c r="C2" s="1" t="s">
        <v>14</v>
      </c>
      <c r="D2" s="1">
        <v>3</v>
      </c>
      <c r="E2" s="1">
        <v>8</v>
      </c>
      <c r="F2" s="1">
        <v>0</v>
      </c>
      <c r="G2" s="1">
        <v>0</v>
      </c>
      <c r="H2" s="1">
        <v>37.5</v>
      </c>
      <c r="I2" s="1">
        <v>5</v>
      </c>
      <c r="J2" s="1">
        <v>0</v>
      </c>
      <c r="K2" s="1">
        <v>0</v>
      </c>
      <c r="L2" s="1" t="s">
        <v>33</v>
      </c>
      <c r="M2" s="1">
        <v>3</v>
      </c>
    </row>
    <row r="3" spans="1:13" x14ac:dyDescent="0.3">
      <c r="A3" s="1">
        <v>2</v>
      </c>
      <c r="B3" s="1">
        <v>2009</v>
      </c>
      <c r="C3" s="1" t="s">
        <v>15</v>
      </c>
      <c r="D3" s="1">
        <v>11</v>
      </c>
      <c r="E3" s="1">
        <v>13</v>
      </c>
      <c r="F3" s="1">
        <v>0</v>
      </c>
      <c r="G3" s="1">
        <v>1</v>
      </c>
      <c r="H3" s="1">
        <v>84.62</v>
      </c>
      <c r="I3" s="1">
        <v>7</v>
      </c>
      <c r="J3" s="1">
        <v>0</v>
      </c>
      <c r="K3" s="1">
        <v>0</v>
      </c>
      <c r="L3" s="1" t="s">
        <v>33</v>
      </c>
      <c r="M3" s="1">
        <v>7</v>
      </c>
    </row>
    <row r="4" spans="1:13" x14ac:dyDescent="0.3">
      <c r="A4" s="1">
        <v>3</v>
      </c>
      <c r="B4" s="1">
        <v>2009</v>
      </c>
      <c r="C4" s="1" t="s">
        <v>17</v>
      </c>
      <c r="D4" s="1">
        <v>50</v>
      </c>
      <c r="E4" s="1">
        <v>32</v>
      </c>
      <c r="F4" s="1">
        <v>7</v>
      </c>
      <c r="G4" s="1">
        <v>0</v>
      </c>
      <c r="H4" s="1">
        <v>156.25</v>
      </c>
      <c r="I4" s="1">
        <v>10</v>
      </c>
      <c r="J4" s="1">
        <v>1</v>
      </c>
      <c r="K4" s="1">
        <v>0</v>
      </c>
      <c r="L4" s="1" t="s">
        <v>33</v>
      </c>
      <c r="M4" s="1">
        <v>21.33</v>
      </c>
    </row>
    <row r="5" spans="1:13" x14ac:dyDescent="0.3">
      <c r="A5" s="1">
        <v>4</v>
      </c>
      <c r="B5" s="1">
        <v>2009</v>
      </c>
      <c r="C5" s="1" t="s">
        <v>18</v>
      </c>
      <c r="D5" s="1">
        <v>2</v>
      </c>
      <c r="E5" s="1">
        <v>3</v>
      </c>
      <c r="F5" s="1">
        <v>0</v>
      </c>
      <c r="G5" s="1">
        <v>0</v>
      </c>
      <c r="H5" s="1">
        <v>66.77</v>
      </c>
      <c r="I5" s="1">
        <v>0</v>
      </c>
      <c r="J5" s="1">
        <v>0</v>
      </c>
      <c r="K5" s="1">
        <v>0</v>
      </c>
      <c r="L5" s="1" t="s">
        <v>33</v>
      </c>
      <c r="M5" s="1">
        <v>16.5</v>
      </c>
    </row>
    <row r="6" spans="1:13" x14ac:dyDescent="0.3">
      <c r="A6" s="1">
        <v>5</v>
      </c>
      <c r="B6" s="1">
        <v>2009</v>
      </c>
      <c r="C6" s="1" t="s">
        <v>16</v>
      </c>
      <c r="D6" s="1">
        <v>22</v>
      </c>
      <c r="E6" s="1">
        <v>24</v>
      </c>
      <c r="F6" s="1">
        <v>1</v>
      </c>
      <c r="G6" s="1">
        <v>0</v>
      </c>
      <c r="H6" s="1">
        <v>91.67</v>
      </c>
      <c r="I6" s="1">
        <v>7</v>
      </c>
      <c r="J6" s="1">
        <v>0</v>
      </c>
      <c r="K6" s="1">
        <v>0</v>
      </c>
      <c r="L6" s="1" t="s">
        <v>33</v>
      </c>
      <c r="M6" s="1">
        <v>17.600000000000001</v>
      </c>
    </row>
    <row r="7" spans="1:13" x14ac:dyDescent="0.3">
      <c r="A7" s="1">
        <v>6</v>
      </c>
      <c r="B7" s="1">
        <v>2009</v>
      </c>
      <c r="C7" s="1" t="s">
        <v>12</v>
      </c>
      <c r="D7" s="1">
        <v>19</v>
      </c>
      <c r="E7" s="1">
        <v>12</v>
      </c>
      <c r="F7" s="1">
        <v>1</v>
      </c>
      <c r="G7" s="1">
        <v>1</v>
      </c>
      <c r="H7" s="1">
        <v>158.33000000000001</v>
      </c>
      <c r="I7" s="1">
        <v>3</v>
      </c>
      <c r="J7" s="1">
        <v>0</v>
      </c>
      <c r="K7" s="1">
        <v>0</v>
      </c>
      <c r="L7" s="1" t="s">
        <v>33</v>
      </c>
      <c r="M7" s="1">
        <v>17.829999999999998</v>
      </c>
    </row>
    <row r="8" spans="1:13" x14ac:dyDescent="0.3">
      <c r="A8" s="1">
        <v>7</v>
      </c>
      <c r="B8" s="1">
        <v>2009</v>
      </c>
      <c r="C8" s="1" t="s">
        <v>18</v>
      </c>
      <c r="D8" s="1">
        <v>16</v>
      </c>
      <c r="E8" s="1">
        <v>14</v>
      </c>
      <c r="F8" s="1">
        <v>2</v>
      </c>
      <c r="G8" s="1">
        <v>0</v>
      </c>
      <c r="H8" s="1">
        <v>114.29</v>
      </c>
      <c r="I8" s="1">
        <v>5</v>
      </c>
      <c r="J8" s="1">
        <v>0</v>
      </c>
      <c r="K8" s="1">
        <v>0</v>
      </c>
      <c r="L8" s="1" t="s">
        <v>33</v>
      </c>
      <c r="M8" s="1">
        <v>17.57</v>
      </c>
    </row>
    <row r="9" spans="1:13" x14ac:dyDescent="0.3">
      <c r="A9" s="1">
        <v>8</v>
      </c>
      <c r="B9" s="1">
        <v>2009</v>
      </c>
      <c r="C9" s="1" t="s">
        <v>14</v>
      </c>
      <c r="D9" s="1">
        <v>15</v>
      </c>
      <c r="E9" s="1">
        <v>22</v>
      </c>
      <c r="F9" s="1">
        <v>1</v>
      </c>
      <c r="G9" s="1">
        <v>0</v>
      </c>
      <c r="H9" s="1">
        <v>68.180000000000007</v>
      </c>
      <c r="I9" s="1">
        <v>12</v>
      </c>
      <c r="J9" s="1">
        <v>0</v>
      </c>
      <c r="K9" s="1">
        <v>0</v>
      </c>
      <c r="L9" s="1" t="s">
        <v>33</v>
      </c>
      <c r="M9" s="1">
        <v>17.25</v>
      </c>
    </row>
    <row r="10" spans="1:13" x14ac:dyDescent="0.3">
      <c r="A10" s="1">
        <v>9</v>
      </c>
      <c r="B10" s="1">
        <v>2009</v>
      </c>
      <c r="C10" s="1" t="s">
        <v>13</v>
      </c>
      <c r="D10" s="1">
        <v>20</v>
      </c>
      <c r="E10" s="1">
        <v>22</v>
      </c>
      <c r="F10" s="1">
        <v>4</v>
      </c>
      <c r="G10" s="1">
        <v>0</v>
      </c>
      <c r="H10" s="1">
        <v>90.91</v>
      </c>
      <c r="I10" s="1">
        <v>13</v>
      </c>
      <c r="J10" s="1">
        <v>0</v>
      </c>
      <c r="K10" s="1">
        <v>0</v>
      </c>
      <c r="L10" s="1" t="s">
        <v>33</v>
      </c>
      <c r="M10" s="1">
        <v>17.559999999999999</v>
      </c>
    </row>
    <row r="11" spans="1:13" x14ac:dyDescent="0.3">
      <c r="A11" s="1">
        <v>10</v>
      </c>
      <c r="B11" s="1">
        <v>2009</v>
      </c>
      <c r="C11" s="1" t="s">
        <v>15</v>
      </c>
      <c r="D11" s="1">
        <v>38</v>
      </c>
      <c r="E11" s="1">
        <v>35</v>
      </c>
      <c r="F11" s="1">
        <v>4</v>
      </c>
      <c r="G11" s="1">
        <v>2</v>
      </c>
      <c r="H11" s="1">
        <v>108.57</v>
      </c>
      <c r="I11" s="1">
        <v>20</v>
      </c>
      <c r="J11" s="1">
        <v>0</v>
      </c>
      <c r="K11" s="1">
        <v>0</v>
      </c>
      <c r="L11" s="1" t="s">
        <v>33</v>
      </c>
      <c r="M11" s="1">
        <v>19.600000000000001</v>
      </c>
    </row>
    <row r="12" spans="1:13" x14ac:dyDescent="0.3">
      <c r="A12" s="1">
        <v>11</v>
      </c>
      <c r="B12" s="1">
        <v>2009</v>
      </c>
      <c r="C12" s="1" t="s">
        <v>17</v>
      </c>
      <c r="D12" s="1">
        <v>19</v>
      </c>
      <c r="E12" s="1">
        <v>9</v>
      </c>
      <c r="F12" s="1">
        <v>0</v>
      </c>
      <c r="G12" s="1">
        <v>2</v>
      </c>
      <c r="H12" s="1">
        <v>211.11</v>
      </c>
      <c r="I12" s="1">
        <v>2</v>
      </c>
      <c r="J12" s="1">
        <v>0</v>
      </c>
      <c r="K12" s="1">
        <v>0</v>
      </c>
      <c r="L12" s="1" t="s">
        <v>34</v>
      </c>
      <c r="M12" s="1">
        <v>21.5</v>
      </c>
    </row>
    <row r="13" spans="1:13" x14ac:dyDescent="0.3">
      <c r="A13" s="1">
        <v>12</v>
      </c>
      <c r="B13" s="1">
        <v>2009</v>
      </c>
      <c r="C13" s="1" t="s">
        <v>15</v>
      </c>
      <c r="D13" s="1">
        <v>24</v>
      </c>
      <c r="E13" s="1">
        <v>17</v>
      </c>
      <c r="F13" s="1">
        <v>1</v>
      </c>
      <c r="G13" s="1">
        <v>2</v>
      </c>
      <c r="H13" s="1">
        <v>141.18</v>
      </c>
      <c r="I13" s="1">
        <v>8</v>
      </c>
      <c r="J13" s="1">
        <v>0</v>
      </c>
      <c r="K13" s="1">
        <v>0</v>
      </c>
      <c r="L13" s="1" t="s">
        <v>34</v>
      </c>
      <c r="M13" s="1">
        <v>23.9</v>
      </c>
    </row>
    <row r="14" spans="1:13" x14ac:dyDescent="0.3">
      <c r="A14" s="1">
        <v>13</v>
      </c>
      <c r="B14" s="1">
        <v>2009</v>
      </c>
      <c r="C14" s="1" t="s">
        <v>17</v>
      </c>
      <c r="D14" s="1">
        <v>7</v>
      </c>
      <c r="E14" s="1">
        <v>8</v>
      </c>
      <c r="F14" s="1">
        <v>1</v>
      </c>
      <c r="G14" s="1">
        <v>0</v>
      </c>
      <c r="H14" s="1">
        <v>87.5</v>
      </c>
      <c r="I14" s="1">
        <v>4</v>
      </c>
      <c r="J14" s="1">
        <v>0</v>
      </c>
      <c r="K14" s="1">
        <v>0</v>
      </c>
      <c r="L14" s="1" t="s">
        <v>33</v>
      </c>
      <c r="M14" s="1">
        <v>22.66</v>
      </c>
    </row>
    <row r="17" spans="3:13" x14ac:dyDescent="0.3">
      <c r="C17" s="8" t="s">
        <v>85</v>
      </c>
      <c r="D17" s="19">
        <f>SUM(D2:D14)/SUM(E2:E14)*100</f>
        <v>112.32876712328768</v>
      </c>
      <c r="L17" s="8" t="s">
        <v>88</v>
      </c>
      <c r="M17">
        <f>M14</f>
        <v>22.66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6EC2-9DFB-4BB3-8613-1BAEAA6BD995}">
  <dimension ref="A1:M19"/>
  <sheetViews>
    <sheetView workbookViewId="0">
      <selection activeCell="M20" sqref="M20"/>
    </sheetView>
  </sheetViews>
  <sheetFormatPr defaultRowHeight="14.4" x14ac:dyDescent="0.3"/>
  <cols>
    <col min="1" max="1" width="6.88671875" bestFit="1" customWidth="1"/>
    <col min="2" max="2" width="12" bestFit="1" customWidth="1"/>
    <col min="3" max="3" width="11.6640625" bestFit="1" customWidth="1"/>
    <col min="4" max="4" width="6.5546875" bestFit="1" customWidth="1"/>
    <col min="5" max="5" width="6" bestFit="1" customWidth="1"/>
    <col min="6" max="7" width="3.33203125" bestFit="1" customWidth="1"/>
    <col min="8" max="8" width="6.5546875" bestFit="1" customWidth="1"/>
    <col min="9" max="9" width="10.44140625" bestFit="1" customWidth="1"/>
    <col min="10" max="10" width="4.6640625" bestFit="1" customWidth="1"/>
    <col min="11" max="11" width="6" bestFit="1" customWidth="1"/>
    <col min="12" max="12" width="14.6640625" bestFit="1" customWidth="1"/>
    <col min="13" max="13" width="18.21875" bestFit="1" customWidth="1"/>
  </cols>
  <sheetData>
    <row r="1" spans="1:13" ht="18" x14ac:dyDescent="0.3">
      <c r="A1" s="2" t="s">
        <v>21</v>
      </c>
      <c r="B1" s="2" t="s">
        <v>0</v>
      </c>
      <c r="C1" s="2" t="s">
        <v>1</v>
      </c>
      <c r="D1" s="2" t="s">
        <v>2</v>
      </c>
      <c r="E1" s="2" t="s">
        <v>3</v>
      </c>
      <c r="F1" s="2" t="s">
        <v>4</v>
      </c>
      <c r="G1" s="2" t="s">
        <v>5</v>
      </c>
      <c r="H1" s="2" t="s">
        <v>6</v>
      </c>
      <c r="I1" s="2" t="s">
        <v>7</v>
      </c>
      <c r="J1" s="2" t="s">
        <v>8</v>
      </c>
      <c r="K1" s="2" t="s">
        <v>9</v>
      </c>
      <c r="L1" s="2" t="s">
        <v>10</v>
      </c>
      <c r="M1" s="2" t="s">
        <v>11</v>
      </c>
    </row>
    <row r="2" spans="1:13" x14ac:dyDescent="0.3">
      <c r="A2" s="6">
        <v>1</v>
      </c>
      <c r="B2" s="6">
        <v>2010</v>
      </c>
      <c r="C2" s="7" t="s">
        <v>12</v>
      </c>
      <c r="D2" s="6">
        <v>2</v>
      </c>
      <c r="E2" s="6">
        <v>5</v>
      </c>
      <c r="F2" s="6">
        <v>0</v>
      </c>
      <c r="G2" s="6">
        <v>0</v>
      </c>
      <c r="H2" s="6">
        <v>40</v>
      </c>
      <c r="I2" s="6">
        <v>3</v>
      </c>
      <c r="J2" s="6">
        <v>0</v>
      </c>
      <c r="K2" s="6">
        <v>0</v>
      </c>
      <c r="L2" s="6" t="s">
        <v>20</v>
      </c>
      <c r="M2" s="6">
        <v>2</v>
      </c>
    </row>
    <row r="3" spans="1:13" x14ac:dyDescent="0.3">
      <c r="A3" s="6">
        <v>2</v>
      </c>
      <c r="B3" s="6">
        <v>2010</v>
      </c>
      <c r="C3" s="7" t="s">
        <v>18</v>
      </c>
      <c r="D3" s="6">
        <v>16</v>
      </c>
      <c r="E3" s="6">
        <v>12</v>
      </c>
      <c r="F3" s="6">
        <v>1</v>
      </c>
      <c r="G3" s="6">
        <v>1</v>
      </c>
      <c r="H3" s="6">
        <v>133.33000000000001</v>
      </c>
      <c r="I3" s="6">
        <v>4</v>
      </c>
      <c r="J3" s="6">
        <v>0</v>
      </c>
      <c r="K3" s="6">
        <v>0</v>
      </c>
      <c r="L3" s="6" t="s">
        <v>19</v>
      </c>
      <c r="M3" s="6">
        <v>18</v>
      </c>
    </row>
    <row r="4" spans="1:13" x14ac:dyDescent="0.3">
      <c r="A4" s="6">
        <v>3</v>
      </c>
      <c r="B4" s="6">
        <v>2010</v>
      </c>
      <c r="C4" s="7" t="s">
        <v>13</v>
      </c>
      <c r="D4" s="6">
        <v>17</v>
      </c>
      <c r="E4" s="6">
        <v>12</v>
      </c>
      <c r="F4" s="6">
        <v>0</v>
      </c>
      <c r="G4" s="6">
        <v>2</v>
      </c>
      <c r="H4" s="6">
        <v>141.66999999999999</v>
      </c>
      <c r="I4" s="6">
        <v>5</v>
      </c>
      <c r="J4" s="6">
        <v>0</v>
      </c>
      <c r="K4" s="6">
        <v>0</v>
      </c>
      <c r="L4" s="6" t="s">
        <v>20</v>
      </c>
      <c r="M4" s="6">
        <v>17.5</v>
      </c>
    </row>
    <row r="5" spans="1:13" x14ac:dyDescent="0.3">
      <c r="A5" s="6">
        <v>4</v>
      </c>
      <c r="B5" s="6">
        <v>2010</v>
      </c>
      <c r="C5" s="7" t="s">
        <v>15</v>
      </c>
      <c r="D5" s="6">
        <v>24</v>
      </c>
      <c r="E5" s="6">
        <v>16</v>
      </c>
      <c r="F5" s="6">
        <v>2</v>
      </c>
      <c r="G5" s="6">
        <v>1</v>
      </c>
      <c r="H5" s="6">
        <v>150</v>
      </c>
      <c r="I5" s="6">
        <v>3</v>
      </c>
      <c r="J5" s="6">
        <v>0</v>
      </c>
      <c r="K5" s="6">
        <v>0</v>
      </c>
      <c r="L5" s="6" t="s">
        <v>20</v>
      </c>
      <c r="M5" s="6">
        <v>19.670000000000002</v>
      </c>
    </row>
    <row r="6" spans="1:13" x14ac:dyDescent="0.3">
      <c r="A6" s="6">
        <v>5</v>
      </c>
      <c r="B6" s="6">
        <v>2010</v>
      </c>
      <c r="C6" s="7" t="s">
        <v>16</v>
      </c>
      <c r="D6" s="6">
        <v>38</v>
      </c>
      <c r="E6" s="6">
        <v>23</v>
      </c>
      <c r="F6" s="6">
        <v>4</v>
      </c>
      <c r="G6" s="6">
        <v>1</v>
      </c>
      <c r="H6" s="6">
        <v>165.22</v>
      </c>
      <c r="I6" s="6">
        <v>2</v>
      </c>
      <c r="J6" s="6">
        <v>0</v>
      </c>
      <c r="K6" s="6">
        <v>0</v>
      </c>
      <c r="L6" s="6" t="s">
        <v>19</v>
      </c>
      <c r="M6" s="6">
        <v>32.33</v>
      </c>
    </row>
    <row r="7" spans="1:13" x14ac:dyDescent="0.3">
      <c r="A7" s="6">
        <v>6</v>
      </c>
      <c r="B7" s="6">
        <v>2010</v>
      </c>
      <c r="C7" s="7" t="s">
        <v>15</v>
      </c>
      <c r="D7" s="6">
        <v>34</v>
      </c>
      <c r="E7" s="6">
        <v>24</v>
      </c>
      <c r="F7" s="6">
        <v>3</v>
      </c>
      <c r="G7" s="6">
        <v>1</v>
      </c>
      <c r="H7" s="6">
        <v>141.66999999999999</v>
      </c>
      <c r="I7" s="6">
        <v>4</v>
      </c>
      <c r="J7" s="6">
        <v>0</v>
      </c>
      <c r="K7" s="6">
        <v>0</v>
      </c>
      <c r="L7" s="6" t="s">
        <v>20</v>
      </c>
      <c r="M7" s="6">
        <v>32.75</v>
      </c>
    </row>
    <row r="8" spans="1:13" x14ac:dyDescent="0.3">
      <c r="A8" s="6">
        <v>7</v>
      </c>
      <c r="B8" s="6">
        <v>2010</v>
      </c>
      <c r="C8" s="7" t="s">
        <v>18</v>
      </c>
      <c r="D8" s="6">
        <v>42</v>
      </c>
      <c r="E8" s="6">
        <v>26</v>
      </c>
      <c r="F8" s="6">
        <v>4</v>
      </c>
      <c r="G8" s="6">
        <v>1</v>
      </c>
      <c r="H8" s="6">
        <v>161.54</v>
      </c>
      <c r="I8" s="6">
        <v>1</v>
      </c>
      <c r="J8" s="6">
        <v>0</v>
      </c>
      <c r="K8" s="6">
        <v>0</v>
      </c>
      <c r="L8" s="6" t="s">
        <v>20</v>
      </c>
      <c r="M8" s="6">
        <v>34.6</v>
      </c>
    </row>
    <row r="9" spans="1:13" x14ac:dyDescent="0.3">
      <c r="A9" s="6">
        <v>8</v>
      </c>
      <c r="B9" s="6">
        <v>2010</v>
      </c>
      <c r="C9" s="7" t="s">
        <v>16</v>
      </c>
      <c r="D9" s="6">
        <v>13</v>
      </c>
      <c r="E9" s="6">
        <v>11</v>
      </c>
      <c r="F9" s="6">
        <v>1</v>
      </c>
      <c r="G9" s="6">
        <v>0</v>
      </c>
      <c r="H9" s="6">
        <v>118.18</v>
      </c>
      <c r="I9" s="6">
        <v>1</v>
      </c>
      <c r="J9" s="6">
        <v>0</v>
      </c>
      <c r="K9" s="6">
        <v>0</v>
      </c>
      <c r="L9" s="6" t="s">
        <v>20</v>
      </c>
      <c r="M9" s="6">
        <v>31</v>
      </c>
    </row>
    <row r="10" spans="1:13" x14ac:dyDescent="0.3">
      <c r="A10" s="6">
        <v>9</v>
      </c>
      <c r="B10" s="6">
        <v>2010</v>
      </c>
      <c r="C10" s="7" t="s">
        <v>17</v>
      </c>
      <c r="D10" s="6">
        <v>58</v>
      </c>
      <c r="E10" s="6">
        <v>35</v>
      </c>
      <c r="F10" s="6">
        <v>4</v>
      </c>
      <c r="G10" s="6">
        <v>4</v>
      </c>
      <c r="H10" s="6">
        <v>165.71</v>
      </c>
      <c r="I10" s="6">
        <v>9</v>
      </c>
      <c r="J10" s="6">
        <v>0</v>
      </c>
      <c r="K10" s="6">
        <v>0</v>
      </c>
      <c r="L10" s="6" t="s">
        <v>20</v>
      </c>
      <c r="M10" s="6">
        <v>34.86</v>
      </c>
    </row>
    <row r="11" spans="1:13" x14ac:dyDescent="0.3">
      <c r="A11" s="6">
        <v>10</v>
      </c>
      <c r="B11" s="6">
        <v>2010</v>
      </c>
      <c r="C11" s="7" t="s">
        <v>12</v>
      </c>
      <c r="D11" s="6">
        <v>0</v>
      </c>
      <c r="E11" s="6">
        <v>0</v>
      </c>
      <c r="F11" s="6">
        <v>0</v>
      </c>
      <c r="G11" s="6">
        <v>0</v>
      </c>
      <c r="H11" s="6" t="s">
        <v>35</v>
      </c>
      <c r="I11" s="6">
        <v>0</v>
      </c>
      <c r="J11" s="6">
        <v>0</v>
      </c>
      <c r="K11" s="6">
        <v>0</v>
      </c>
      <c r="L11" s="6" t="s">
        <v>19</v>
      </c>
      <c r="M11" s="6">
        <v>34.86</v>
      </c>
    </row>
    <row r="12" spans="1:13" x14ac:dyDescent="0.3">
      <c r="A12" s="6">
        <v>11</v>
      </c>
      <c r="B12" s="6">
        <v>2010</v>
      </c>
      <c r="C12" s="7" t="s">
        <v>17</v>
      </c>
      <c r="D12" s="6">
        <v>3</v>
      </c>
      <c r="E12" s="6">
        <v>4</v>
      </c>
      <c r="F12" s="6">
        <v>0</v>
      </c>
      <c r="G12" s="6">
        <v>0</v>
      </c>
      <c r="H12" s="6">
        <v>75</v>
      </c>
      <c r="I12" s="6">
        <v>1</v>
      </c>
      <c r="J12" s="6">
        <v>0</v>
      </c>
      <c r="K12" s="6">
        <v>0</v>
      </c>
      <c r="L12" s="6" t="s">
        <v>20</v>
      </c>
      <c r="M12" s="6">
        <v>34.86</v>
      </c>
    </row>
    <row r="13" spans="1:13" x14ac:dyDescent="0.3">
      <c r="A13" s="6">
        <v>12</v>
      </c>
      <c r="B13" s="6">
        <v>2010</v>
      </c>
      <c r="C13" s="7" t="s">
        <v>14</v>
      </c>
      <c r="D13" s="6">
        <v>14</v>
      </c>
      <c r="E13" s="6">
        <v>13</v>
      </c>
      <c r="F13" s="6">
        <v>2</v>
      </c>
      <c r="G13" s="6">
        <v>0</v>
      </c>
      <c r="H13" s="6" t="s">
        <v>35</v>
      </c>
      <c r="I13" s="6">
        <v>6</v>
      </c>
      <c r="J13" s="6">
        <v>0</v>
      </c>
      <c r="K13" s="6">
        <v>0</v>
      </c>
      <c r="L13" s="6" t="s">
        <v>20</v>
      </c>
      <c r="M13" s="6">
        <v>34.86</v>
      </c>
    </row>
    <row r="14" spans="1:13" x14ac:dyDescent="0.3">
      <c r="A14" s="6">
        <v>13</v>
      </c>
      <c r="B14" s="6">
        <v>2010</v>
      </c>
      <c r="C14" s="7" t="s">
        <v>13</v>
      </c>
      <c r="D14" s="6">
        <v>37</v>
      </c>
      <c r="E14" s="6">
        <v>24</v>
      </c>
      <c r="F14" s="6">
        <v>4</v>
      </c>
      <c r="G14" s="6">
        <v>1</v>
      </c>
      <c r="H14" s="6">
        <v>154.16999999999999</v>
      </c>
      <c r="I14" s="6">
        <v>4</v>
      </c>
      <c r="J14" s="6">
        <v>0</v>
      </c>
      <c r="K14" s="6">
        <v>0</v>
      </c>
      <c r="L14" s="6" t="s">
        <v>20</v>
      </c>
      <c r="M14" s="6">
        <v>35.130000000000003</v>
      </c>
    </row>
    <row r="15" spans="1:13" x14ac:dyDescent="0.3">
      <c r="A15" s="6">
        <v>14</v>
      </c>
      <c r="B15" s="6">
        <v>2010</v>
      </c>
      <c r="C15" s="7" t="s">
        <v>36</v>
      </c>
      <c r="D15" s="6">
        <v>9</v>
      </c>
      <c r="E15" s="6">
        <v>7</v>
      </c>
      <c r="F15" s="6">
        <v>1</v>
      </c>
      <c r="G15" s="6">
        <v>0</v>
      </c>
      <c r="H15" s="6">
        <v>128.57</v>
      </c>
      <c r="I15" s="6">
        <v>1</v>
      </c>
      <c r="J15" s="6">
        <v>0</v>
      </c>
      <c r="K15" s="6">
        <v>0</v>
      </c>
      <c r="L15" s="6" t="s">
        <v>20</v>
      </c>
      <c r="M15" s="6">
        <v>32.22</v>
      </c>
    </row>
    <row r="16" spans="1:13" x14ac:dyDescent="0.3">
      <c r="A16" s="6">
        <v>15</v>
      </c>
      <c r="B16" s="6">
        <v>2010</v>
      </c>
      <c r="C16" s="7" t="s">
        <v>17</v>
      </c>
      <c r="D16" s="6">
        <v>0</v>
      </c>
      <c r="E16" s="6">
        <v>0</v>
      </c>
      <c r="F16" s="6">
        <v>0</v>
      </c>
      <c r="G16" s="6">
        <v>0</v>
      </c>
      <c r="H16" s="6" t="s">
        <v>35</v>
      </c>
      <c r="I16" s="6">
        <v>0</v>
      </c>
      <c r="J16" s="6">
        <v>0</v>
      </c>
      <c r="K16" s="6">
        <v>0</v>
      </c>
      <c r="L16" s="6" t="s">
        <v>19</v>
      </c>
      <c r="M16" s="6">
        <v>32.22</v>
      </c>
    </row>
    <row r="19" spans="3:13" x14ac:dyDescent="0.3">
      <c r="C19" s="16" t="s">
        <v>86</v>
      </c>
      <c r="D19" s="19">
        <f>SUM(D2:D16)/SUM(E2:E16)*100</f>
        <v>144.81132075471697</v>
      </c>
      <c r="L19" s="17" t="s">
        <v>88</v>
      </c>
      <c r="M19">
        <f>M16</f>
        <v>32.22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FCBE-249B-483E-9B59-A412A8F35B7D}">
  <dimension ref="A1:M20"/>
  <sheetViews>
    <sheetView workbookViewId="0">
      <selection activeCell="M21" sqref="M21"/>
    </sheetView>
  </sheetViews>
  <sheetFormatPr defaultRowHeight="14.4" x14ac:dyDescent="0.3"/>
  <cols>
    <col min="1" max="1" width="5.6640625" bestFit="1" customWidth="1"/>
    <col min="2" max="2" width="9.21875" customWidth="1"/>
    <col min="3" max="3" width="9.77734375" customWidth="1"/>
    <col min="4" max="4" width="6.88671875" customWidth="1"/>
    <col min="5" max="5" width="4.77734375" bestFit="1" customWidth="1"/>
    <col min="6" max="7" width="2.77734375" bestFit="1" customWidth="1"/>
    <col min="8" max="8" width="6.5546875" bestFit="1" customWidth="1"/>
    <col min="9" max="9" width="8.21875" bestFit="1" customWidth="1"/>
    <col min="10" max="10" width="3.77734375" bestFit="1" customWidth="1"/>
    <col min="11" max="11" width="4.77734375" bestFit="1" customWidth="1"/>
    <col min="12" max="12" width="8.109375" bestFit="1" customWidth="1"/>
    <col min="13" max="13" width="7.88671875" bestFit="1" customWidth="1"/>
  </cols>
  <sheetData>
    <row r="1" spans="1:13" ht="28.8" x14ac:dyDescent="0.3">
      <c r="A1" s="9" t="s">
        <v>21</v>
      </c>
      <c r="B1" s="9" t="s">
        <v>0</v>
      </c>
      <c r="C1" s="9" t="s">
        <v>1</v>
      </c>
      <c r="D1" s="9" t="s">
        <v>2</v>
      </c>
      <c r="E1" s="9" t="s">
        <v>3</v>
      </c>
      <c r="F1" s="9" t="s">
        <v>4</v>
      </c>
      <c r="G1" s="9" t="s">
        <v>5</v>
      </c>
      <c r="H1" s="9" t="s">
        <v>6</v>
      </c>
      <c r="I1" s="9" t="s">
        <v>7</v>
      </c>
      <c r="J1" s="9" t="s">
        <v>8</v>
      </c>
      <c r="K1" s="9" t="s">
        <v>9</v>
      </c>
      <c r="L1" s="9" t="s">
        <v>10</v>
      </c>
      <c r="M1" s="9" t="s">
        <v>11</v>
      </c>
    </row>
    <row r="2" spans="1:13" x14ac:dyDescent="0.3">
      <c r="A2" s="6">
        <v>1</v>
      </c>
      <c r="B2" s="6" t="s">
        <v>37</v>
      </c>
      <c r="C2" s="6" t="s">
        <v>63</v>
      </c>
      <c r="D2" s="6">
        <v>23</v>
      </c>
      <c r="E2" s="6">
        <v>18</v>
      </c>
      <c r="F2" s="6">
        <v>4</v>
      </c>
      <c r="G2" s="6">
        <v>0</v>
      </c>
      <c r="H2" s="6">
        <v>127.78</v>
      </c>
      <c r="I2" s="6">
        <v>7</v>
      </c>
      <c r="J2" s="6">
        <v>0</v>
      </c>
      <c r="K2" s="6">
        <v>0</v>
      </c>
      <c r="L2" s="6" t="s">
        <v>20</v>
      </c>
      <c r="M2" s="6">
        <v>23</v>
      </c>
    </row>
    <row r="3" spans="1:13" x14ac:dyDescent="0.3">
      <c r="A3" s="6">
        <v>2</v>
      </c>
      <c r="B3" s="6" t="s">
        <v>38</v>
      </c>
      <c r="C3" s="6" t="s">
        <v>13</v>
      </c>
      <c r="D3" s="6">
        <v>12</v>
      </c>
      <c r="E3" s="6">
        <v>19</v>
      </c>
      <c r="F3" s="6">
        <v>2</v>
      </c>
      <c r="G3" s="6">
        <v>0</v>
      </c>
      <c r="H3" s="6">
        <v>63.16</v>
      </c>
      <c r="I3" s="6">
        <v>13</v>
      </c>
      <c r="J3" s="6">
        <v>0</v>
      </c>
      <c r="K3" s="6">
        <v>0</v>
      </c>
      <c r="L3" s="6" t="s">
        <v>20</v>
      </c>
      <c r="M3" s="6">
        <v>17.5</v>
      </c>
    </row>
    <row r="4" spans="1:13" x14ac:dyDescent="0.3">
      <c r="A4" s="6">
        <v>3</v>
      </c>
      <c r="B4" s="6" t="s">
        <v>39</v>
      </c>
      <c r="C4" s="6" t="s">
        <v>17</v>
      </c>
      <c r="D4" s="6">
        <v>71</v>
      </c>
      <c r="E4" s="6">
        <v>51</v>
      </c>
      <c r="F4" s="6">
        <v>5</v>
      </c>
      <c r="G4" s="6">
        <v>3</v>
      </c>
      <c r="H4" s="6">
        <v>139.22</v>
      </c>
      <c r="I4" s="6">
        <v>10</v>
      </c>
      <c r="J4" s="6">
        <v>1</v>
      </c>
      <c r="K4" s="6">
        <v>0</v>
      </c>
      <c r="L4" s="6" t="s">
        <v>20</v>
      </c>
      <c r="M4" s="6">
        <v>35.33</v>
      </c>
    </row>
    <row r="5" spans="1:13" x14ac:dyDescent="0.3">
      <c r="A5" s="6">
        <v>4</v>
      </c>
      <c r="B5" s="6" t="s">
        <v>40</v>
      </c>
      <c r="C5" s="6" t="s">
        <v>15</v>
      </c>
      <c r="D5" s="6">
        <v>35</v>
      </c>
      <c r="E5" s="6">
        <v>28</v>
      </c>
      <c r="F5" s="6">
        <v>4</v>
      </c>
      <c r="G5" s="6">
        <v>1</v>
      </c>
      <c r="H5" s="6">
        <v>125</v>
      </c>
      <c r="I5" s="6">
        <v>11</v>
      </c>
      <c r="J5" s="6">
        <v>0</v>
      </c>
      <c r="K5" s="6">
        <v>0</v>
      </c>
      <c r="L5" s="6" t="s">
        <v>20</v>
      </c>
      <c r="M5" s="6">
        <v>35.25</v>
      </c>
    </row>
    <row r="6" spans="1:13" x14ac:dyDescent="0.3">
      <c r="A6" s="6">
        <v>5</v>
      </c>
      <c r="B6" s="6" t="s">
        <v>41</v>
      </c>
      <c r="C6" s="6" t="s">
        <v>12</v>
      </c>
      <c r="D6" s="6">
        <v>30</v>
      </c>
      <c r="E6" s="6">
        <v>23</v>
      </c>
      <c r="F6" s="6">
        <v>3</v>
      </c>
      <c r="G6" s="6">
        <v>1</v>
      </c>
      <c r="H6" s="6">
        <v>130.43</v>
      </c>
      <c r="I6" s="6">
        <v>8</v>
      </c>
      <c r="J6" s="6">
        <v>0</v>
      </c>
      <c r="K6" s="6">
        <v>0</v>
      </c>
      <c r="L6" s="6" t="s">
        <v>19</v>
      </c>
      <c r="M6" s="6">
        <v>42.75</v>
      </c>
    </row>
    <row r="7" spans="1:13" x14ac:dyDescent="0.3">
      <c r="A7" s="6">
        <v>6</v>
      </c>
      <c r="B7" s="6" t="s">
        <v>42</v>
      </c>
      <c r="C7" s="6" t="s">
        <v>16</v>
      </c>
      <c r="D7" s="6">
        <v>56</v>
      </c>
      <c r="E7" s="6">
        <v>38</v>
      </c>
      <c r="F7" s="6">
        <v>8</v>
      </c>
      <c r="G7" s="6">
        <v>2</v>
      </c>
      <c r="H7" s="6">
        <v>147.36000000000001</v>
      </c>
      <c r="I7" s="6">
        <v>18</v>
      </c>
      <c r="J7" s="6">
        <v>1</v>
      </c>
      <c r="K7" s="6">
        <v>0</v>
      </c>
      <c r="L7" s="6" t="s">
        <v>20</v>
      </c>
      <c r="M7" s="6">
        <v>45.4</v>
      </c>
    </row>
    <row r="8" spans="1:13" x14ac:dyDescent="0.3">
      <c r="A8" s="6">
        <v>7</v>
      </c>
      <c r="B8" s="6" t="s">
        <v>43</v>
      </c>
      <c r="C8" s="6" t="s">
        <v>56</v>
      </c>
      <c r="D8" s="6">
        <v>67</v>
      </c>
      <c r="E8" s="6">
        <v>42</v>
      </c>
      <c r="F8" s="6">
        <v>4</v>
      </c>
      <c r="G8" s="6">
        <v>4</v>
      </c>
      <c r="H8" s="6">
        <v>159.52000000000001</v>
      </c>
      <c r="I8" s="6">
        <v>11</v>
      </c>
      <c r="J8" s="6">
        <v>1</v>
      </c>
      <c r="K8" s="6">
        <v>0</v>
      </c>
      <c r="L8" s="6" t="s">
        <v>20</v>
      </c>
      <c r="M8" s="6">
        <v>49</v>
      </c>
    </row>
    <row r="9" spans="1:13" x14ac:dyDescent="0.3">
      <c r="A9" s="6">
        <v>8</v>
      </c>
      <c r="B9" s="6" t="s">
        <v>44</v>
      </c>
      <c r="C9" s="6" t="s">
        <v>18</v>
      </c>
      <c r="D9" s="6">
        <v>27</v>
      </c>
      <c r="E9" s="6">
        <v>31</v>
      </c>
      <c r="F9" s="6">
        <v>4</v>
      </c>
      <c r="G9" s="6">
        <v>0</v>
      </c>
      <c r="H9" s="6">
        <v>87.1</v>
      </c>
      <c r="I9" s="6">
        <v>16</v>
      </c>
      <c r="J9" s="6">
        <v>0</v>
      </c>
      <c r="K9" s="6">
        <v>0</v>
      </c>
      <c r="L9" s="6" t="s">
        <v>20</v>
      </c>
      <c r="M9" s="6">
        <v>45.86</v>
      </c>
    </row>
    <row r="10" spans="1:13" x14ac:dyDescent="0.3">
      <c r="A10" s="6">
        <v>9</v>
      </c>
      <c r="B10" s="6" t="s">
        <v>45</v>
      </c>
      <c r="C10" s="6" t="s">
        <v>63</v>
      </c>
      <c r="D10" s="6">
        <v>27</v>
      </c>
      <c r="E10" s="6">
        <v>33</v>
      </c>
      <c r="F10" s="6">
        <v>3</v>
      </c>
      <c r="G10" s="6">
        <v>0</v>
      </c>
      <c r="H10" s="6">
        <v>81.819999999999993</v>
      </c>
      <c r="I10" s="6">
        <v>15</v>
      </c>
      <c r="J10" s="6">
        <v>0</v>
      </c>
      <c r="K10" s="6">
        <v>0</v>
      </c>
      <c r="L10" s="6" t="s">
        <v>19</v>
      </c>
      <c r="M10" s="6">
        <v>49.71</v>
      </c>
    </row>
    <row r="11" spans="1:13" x14ac:dyDescent="0.3">
      <c r="A11" s="6">
        <v>10</v>
      </c>
      <c r="B11" s="6" t="s">
        <v>46</v>
      </c>
      <c r="C11" s="6" t="s">
        <v>14</v>
      </c>
      <c r="D11" s="6">
        <v>39</v>
      </c>
      <c r="E11" s="6">
        <v>34</v>
      </c>
      <c r="F11" s="6">
        <v>3</v>
      </c>
      <c r="G11" s="6">
        <v>0</v>
      </c>
      <c r="H11" s="6">
        <v>114.71</v>
      </c>
      <c r="I11" s="6">
        <v>4</v>
      </c>
      <c r="J11" s="6">
        <v>0</v>
      </c>
      <c r="K11" s="6">
        <v>0</v>
      </c>
      <c r="L11" s="6" t="s">
        <v>19</v>
      </c>
      <c r="M11" s="6">
        <v>55.29</v>
      </c>
    </row>
    <row r="12" spans="1:13" x14ac:dyDescent="0.3">
      <c r="A12" s="6">
        <v>11</v>
      </c>
      <c r="B12" s="6" t="s">
        <v>47</v>
      </c>
      <c r="C12" s="6" t="s">
        <v>12</v>
      </c>
      <c r="D12" s="6">
        <v>15</v>
      </c>
      <c r="E12" s="6">
        <v>15</v>
      </c>
      <c r="F12" s="6">
        <v>1</v>
      </c>
      <c r="G12" s="6">
        <v>0</v>
      </c>
      <c r="H12" s="6">
        <v>100</v>
      </c>
      <c r="I12" s="6">
        <v>3</v>
      </c>
      <c r="J12" s="6">
        <v>0</v>
      </c>
      <c r="K12" s="6">
        <v>0</v>
      </c>
      <c r="L12" s="6" t="s">
        <v>20</v>
      </c>
      <c r="M12" s="6">
        <v>55.56</v>
      </c>
    </row>
    <row r="13" spans="1:13" x14ac:dyDescent="0.3">
      <c r="A13" s="6">
        <v>12</v>
      </c>
      <c r="B13" s="6" t="s">
        <v>48</v>
      </c>
      <c r="C13" s="6" t="s">
        <v>18</v>
      </c>
      <c r="D13" s="6">
        <v>11</v>
      </c>
      <c r="E13" s="6">
        <v>11</v>
      </c>
      <c r="F13" s="6">
        <v>2</v>
      </c>
      <c r="G13" s="6">
        <v>0</v>
      </c>
      <c r="H13" s="6">
        <v>100</v>
      </c>
      <c r="I13" s="6">
        <v>6</v>
      </c>
      <c r="J13" s="6">
        <v>0</v>
      </c>
      <c r="K13" s="6">
        <v>0</v>
      </c>
      <c r="L13" s="6" t="s">
        <v>20</v>
      </c>
      <c r="M13" s="6">
        <v>51.1</v>
      </c>
    </row>
    <row r="14" spans="1:13" x14ac:dyDescent="0.3">
      <c r="A14" s="6">
        <v>13</v>
      </c>
      <c r="B14" s="6" t="s">
        <v>49</v>
      </c>
      <c r="C14" s="6" t="s">
        <v>15</v>
      </c>
      <c r="D14" s="6">
        <v>31</v>
      </c>
      <c r="E14" s="6">
        <v>29</v>
      </c>
      <c r="F14" s="6">
        <v>5</v>
      </c>
      <c r="G14" s="6">
        <v>0</v>
      </c>
      <c r="H14" s="6">
        <v>106.9</v>
      </c>
      <c r="I14" s="6">
        <v>13</v>
      </c>
      <c r="J14" s="6">
        <v>0</v>
      </c>
      <c r="K14" s="6">
        <v>0</v>
      </c>
      <c r="L14" s="6" t="s">
        <v>20</v>
      </c>
      <c r="M14" s="6">
        <v>51.73</v>
      </c>
    </row>
    <row r="15" spans="1:13" x14ac:dyDescent="0.3">
      <c r="A15" s="6">
        <v>14</v>
      </c>
      <c r="B15" s="6" t="s">
        <v>50</v>
      </c>
      <c r="C15" s="6" t="s">
        <v>15</v>
      </c>
      <c r="D15" s="6">
        <v>70</v>
      </c>
      <c r="E15" s="6">
        <v>44</v>
      </c>
      <c r="F15" s="6">
        <v>5</v>
      </c>
      <c r="G15" s="6">
        <v>3</v>
      </c>
      <c r="H15" s="6">
        <v>159.09</v>
      </c>
      <c r="I15" s="6">
        <v>4</v>
      </c>
      <c r="J15" s="6">
        <v>1</v>
      </c>
      <c r="K15" s="6">
        <v>0</v>
      </c>
      <c r="L15" s="6" t="s">
        <v>19</v>
      </c>
      <c r="M15" s="6">
        <v>65.290000000000006</v>
      </c>
    </row>
    <row r="16" spans="1:13" x14ac:dyDescent="0.3">
      <c r="A16" s="6">
        <v>15</v>
      </c>
      <c r="B16" s="6" t="s">
        <v>51</v>
      </c>
      <c r="C16" s="6" t="s">
        <v>13</v>
      </c>
      <c r="D16" s="6">
        <v>8</v>
      </c>
      <c r="E16" s="6">
        <v>12</v>
      </c>
      <c r="F16" s="6">
        <v>0</v>
      </c>
      <c r="G16" s="6">
        <v>0</v>
      </c>
      <c r="H16" s="6">
        <v>66.67</v>
      </c>
      <c r="I16" s="6">
        <v>4</v>
      </c>
      <c r="J16" s="6">
        <v>0</v>
      </c>
      <c r="K16" s="6">
        <v>0</v>
      </c>
      <c r="L16" s="6" t="s">
        <v>20</v>
      </c>
      <c r="M16" s="6">
        <v>58.13</v>
      </c>
    </row>
    <row r="17" spans="1:13" x14ac:dyDescent="0.3">
      <c r="A17" s="6">
        <v>16</v>
      </c>
      <c r="B17" s="6" t="s">
        <v>52</v>
      </c>
      <c r="C17" s="6" t="s">
        <v>15</v>
      </c>
      <c r="D17" s="6">
        <v>35</v>
      </c>
      <c r="E17" s="6">
        <v>32</v>
      </c>
      <c r="F17" s="6">
        <v>1</v>
      </c>
      <c r="G17" s="6">
        <v>1</v>
      </c>
      <c r="H17" s="6">
        <v>109.38</v>
      </c>
      <c r="I17" s="6">
        <v>6</v>
      </c>
      <c r="J17" s="6">
        <v>0</v>
      </c>
      <c r="K17" s="6">
        <v>0</v>
      </c>
      <c r="L17" s="6" t="s">
        <v>20</v>
      </c>
      <c r="M17" s="6">
        <v>55.56</v>
      </c>
    </row>
    <row r="20" spans="1:13" x14ac:dyDescent="0.3">
      <c r="C20" s="17" t="s">
        <v>85</v>
      </c>
      <c r="D20">
        <f>SUM(D2:D17)/SUM(E2:E17)*100</f>
        <v>121.08695652173913</v>
      </c>
      <c r="L20" s="17" t="s">
        <v>88</v>
      </c>
      <c r="M20">
        <f>M17</f>
        <v>55.56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E8F-7084-4ACE-824C-0F29983DBCD0}">
  <dimension ref="A1:M19"/>
  <sheetViews>
    <sheetView workbookViewId="0">
      <selection activeCell="M20" sqref="M20"/>
    </sheetView>
  </sheetViews>
  <sheetFormatPr defaultRowHeight="14.4" x14ac:dyDescent="0.3"/>
  <cols>
    <col min="3" max="3" width="10.44140625" customWidth="1"/>
  </cols>
  <sheetData>
    <row r="1" spans="1:13" ht="28.8" x14ac:dyDescent="0.3">
      <c r="A1" s="9" t="s">
        <v>54</v>
      </c>
      <c r="B1" s="9" t="s">
        <v>0</v>
      </c>
      <c r="C1" s="13" t="s">
        <v>1</v>
      </c>
      <c r="D1" s="9" t="s">
        <v>2</v>
      </c>
      <c r="E1" s="9" t="s">
        <v>3</v>
      </c>
      <c r="F1" s="9" t="s">
        <v>4</v>
      </c>
      <c r="G1" s="9" t="s">
        <v>5</v>
      </c>
      <c r="H1" s="9" t="s">
        <v>6</v>
      </c>
      <c r="I1" s="9" t="s">
        <v>7</v>
      </c>
      <c r="J1" s="9" t="s">
        <v>8</v>
      </c>
      <c r="K1" s="9" t="s">
        <v>9</v>
      </c>
      <c r="L1" s="9" t="s">
        <v>10</v>
      </c>
      <c r="M1" s="9" t="s">
        <v>55</v>
      </c>
    </row>
    <row r="2" spans="1:13" x14ac:dyDescent="0.3">
      <c r="A2" s="6">
        <v>1</v>
      </c>
      <c r="B2" s="6">
        <v>2012</v>
      </c>
      <c r="C2" s="10" t="s">
        <v>16</v>
      </c>
      <c r="D2" s="6">
        <v>8</v>
      </c>
      <c r="E2" s="6">
        <v>8</v>
      </c>
      <c r="F2" s="6">
        <v>1</v>
      </c>
      <c r="G2" s="6">
        <v>0</v>
      </c>
      <c r="H2" s="6">
        <v>100</v>
      </c>
      <c r="I2" s="6">
        <v>4</v>
      </c>
      <c r="J2" s="6">
        <v>0</v>
      </c>
      <c r="K2" s="6">
        <v>0</v>
      </c>
      <c r="L2" s="6" t="s">
        <v>20</v>
      </c>
      <c r="M2" s="6">
        <v>28</v>
      </c>
    </row>
    <row r="3" spans="1:13" x14ac:dyDescent="0.3">
      <c r="A3" s="6">
        <v>2</v>
      </c>
      <c r="B3" s="6">
        <v>2012</v>
      </c>
      <c r="C3" s="10" t="s">
        <v>12</v>
      </c>
      <c r="D3" s="6">
        <v>6</v>
      </c>
      <c r="E3" s="6">
        <v>14</v>
      </c>
      <c r="F3" s="6">
        <v>0</v>
      </c>
      <c r="G3" s="6">
        <v>0</v>
      </c>
      <c r="H3" s="6">
        <v>42.85</v>
      </c>
      <c r="I3" s="6">
        <v>9</v>
      </c>
      <c r="J3" s="6">
        <v>0</v>
      </c>
      <c r="K3" s="6">
        <v>0</v>
      </c>
      <c r="L3" s="6" t="s">
        <v>20</v>
      </c>
      <c r="M3" s="6">
        <v>28</v>
      </c>
    </row>
    <row r="4" spans="1:13" x14ac:dyDescent="0.3">
      <c r="A4" s="6">
        <v>3</v>
      </c>
      <c r="B4" s="6">
        <v>2012</v>
      </c>
      <c r="C4" s="10" t="s">
        <v>15</v>
      </c>
      <c r="D4" s="6">
        <v>57</v>
      </c>
      <c r="E4" s="6">
        <v>46</v>
      </c>
      <c r="F4" s="6">
        <v>5</v>
      </c>
      <c r="G4" s="6">
        <v>2</v>
      </c>
      <c r="H4" s="6">
        <v>123.91</v>
      </c>
      <c r="I4" s="6">
        <v>17</v>
      </c>
      <c r="J4" s="6">
        <v>1</v>
      </c>
      <c r="K4" s="6">
        <v>0</v>
      </c>
      <c r="L4" s="6" t="s">
        <v>20</v>
      </c>
      <c r="M4" s="6">
        <v>28</v>
      </c>
    </row>
    <row r="5" spans="1:13" x14ac:dyDescent="0.3">
      <c r="A5" s="6">
        <v>4</v>
      </c>
      <c r="B5" s="6">
        <v>2012</v>
      </c>
      <c r="C5" s="10" t="s">
        <v>14</v>
      </c>
      <c r="D5" s="6">
        <v>22</v>
      </c>
      <c r="E5" s="6">
        <v>18</v>
      </c>
      <c r="F5" s="6">
        <v>1</v>
      </c>
      <c r="G5" s="6">
        <v>0</v>
      </c>
      <c r="H5" s="6">
        <v>122.22</v>
      </c>
      <c r="I5" s="6">
        <v>3</v>
      </c>
      <c r="J5" s="6">
        <v>0</v>
      </c>
      <c r="K5" s="6">
        <v>0</v>
      </c>
      <c r="L5" s="6" t="s">
        <v>20</v>
      </c>
      <c r="M5" s="6">
        <v>28</v>
      </c>
    </row>
    <row r="6" spans="1:13" x14ac:dyDescent="0.3">
      <c r="A6" s="6">
        <v>5</v>
      </c>
      <c r="B6" s="6">
        <v>2012</v>
      </c>
      <c r="C6" s="10" t="s">
        <v>56</v>
      </c>
      <c r="D6" s="6">
        <v>16</v>
      </c>
      <c r="E6" s="6">
        <v>19</v>
      </c>
      <c r="F6" s="6">
        <v>1</v>
      </c>
      <c r="G6" s="6">
        <v>0</v>
      </c>
      <c r="H6" s="6">
        <v>84.21</v>
      </c>
      <c r="I6" s="6">
        <v>7</v>
      </c>
      <c r="J6" s="6">
        <v>0</v>
      </c>
      <c r="K6" s="6">
        <v>0</v>
      </c>
      <c r="L6" s="6" t="s">
        <v>20</v>
      </c>
      <c r="M6" s="6">
        <v>28</v>
      </c>
    </row>
    <row r="7" spans="1:13" x14ac:dyDescent="0.3">
      <c r="A7" s="6">
        <v>6</v>
      </c>
      <c r="B7" s="6">
        <v>2012</v>
      </c>
      <c r="C7" s="10" t="s">
        <v>18</v>
      </c>
      <c r="D7" s="6">
        <v>4</v>
      </c>
      <c r="E7" s="6">
        <v>4</v>
      </c>
      <c r="F7" s="6">
        <v>1</v>
      </c>
      <c r="G7" s="6">
        <v>0</v>
      </c>
      <c r="H7" s="6">
        <v>100</v>
      </c>
      <c r="I7" s="6">
        <v>2</v>
      </c>
      <c r="J7" s="6">
        <v>0</v>
      </c>
      <c r="K7" s="6">
        <v>0</v>
      </c>
      <c r="L7" s="6" t="s">
        <v>20</v>
      </c>
      <c r="M7" s="6">
        <v>28</v>
      </c>
    </row>
    <row r="8" spans="1:13" x14ac:dyDescent="0.3">
      <c r="A8" s="6">
        <v>7</v>
      </c>
      <c r="B8" s="6">
        <v>2012</v>
      </c>
      <c r="C8" s="10" t="s">
        <v>14</v>
      </c>
      <c r="D8" s="6">
        <v>22</v>
      </c>
      <c r="E8" s="6">
        <v>18</v>
      </c>
      <c r="F8" s="6">
        <v>0</v>
      </c>
      <c r="G8" s="6">
        <v>0</v>
      </c>
      <c r="H8" s="6">
        <v>122.22</v>
      </c>
      <c r="I8" s="6">
        <v>1</v>
      </c>
      <c r="J8" s="6">
        <v>0</v>
      </c>
      <c r="K8" s="6">
        <v>0</v>
      </c>
      <c r="L8" s="6" t="s">
        <v>20</v>
      </c>
      <c r="M8" s="6">
        <v>28</v>
      </c>
    </row>
    <row r="9" spans="1:13" x14ac:dyDescent="0.3">
      <c r="A9" s="6">
        <v>8</v>
      </c>
      <c r="B9" s="6">
        <v>2012</v>
      </c>
      <c r="C9" s="10" t="s">
        <v>12</v>
      </c>
      <c r="D9" s="6">
        <v>18</v>
      </c>
      <c r="E9" s="6">
        <v>19</v>
      </c>
      <c r="F9" s="6">
        <v>3</v>
      </c>
      <c r="G9" s="6">
        <v>0</v>
      </c>
      <c r="H9" s="6">
        <v>94.74</v>
      </c>
      <c r="I9" s="6">
        <v>9</v>
      </c>
      <c r="J9" s="6">
        <v>0</v>
      </c>
      <c r="K9" s="6">
        <v>0</v>
      </c>
      <c r="L9" s="6" t="s">
        <v>20</v>
      </c>
      <c r="M9" s="6">
        <v>28</v>
      </c>
    </row>
    <row r="10" spans="1:13" x14ac:dyDescent="0.3">
      <c r="A10" s="6">
        <v>9</v>
      </c>
      <c r="B10" s="6">
        <v>2012</v>
      </c>
      <c r="C10" s="10" t="s">
        <v>18</v>
      </c>
      <c r="D10" s="6">
        <v>45</v>
      </c>
      <c r="E10" s="6">
        <v>42</v>
      </c>
      <c r="F10" s="6">
        <v>3</v>
      </c>
      <c r="G10" s="6">
        <v>2</v>
      </c>
      <c r="H10" s="6">
        <v>107.14</v>
      </c>
      <c r="I10" s="6">
        <v>11</v>
      </c>
      <c r="J10" s="6">
        <v>0</v>
      </c>
      <c r="K10" s="6">
        <v>0</v>
      </c>
      <c r="L10" s="6" t="s">
        <v>20</v>
      </c>
      <c r="M10" s="6">
        <v>28</v>
      </c>
    </row>
    <row r="11" spans="1:13" x14ac:dyDescent="0.3">
      <c r="A11" s="6">
        <v>10</v>
      </c>
      <c r="B11" s="6">
        <v>2012</v>
      </c>
      <c r="C11" s="10" t="s">
        <v>17</v>
      </c>
      <c r="D11" s="6">
        <v>9</v>
      </c>
      <c r="E11" s="6">
        <v>9</v>
      </c>
      <c r="F11" s="6">
        <v>1</v>
      </c>
      <c r="G11" s="6">
        <v>0</v>
      </c>
      <c r="H11" s="6">
        <v>100</v>
      </c>
      <c r="I11" s="6">
        <v>3</v>
      </c>
      <c r="J11" s="6">
        <v>0</v>
      </c>
      <c r="K11" s="6">
        <v>0</v>
      </c>
      <c r="L11" s="6" t="s">
        <v>20</v>
      </c>
      <c r="M11" s="6">
        <v>28</v>
      </c>
    </row>
    <row r="12" spans="1:13" x14ac:dyDescent="0.3">
      <c r="A12" s="6">
        <v>11</v>
      </c>
      <c r="B12" s="6">
        <v>2012</v>
      </c>
      <c r="C12" s="10" t="s">
        <v>13</v>
      </c>
      <c r="D12" s="6">
        <v>36</v>
      </c>
      <c r="E12" s="6">
        <v>25</v>
      </c>
      <c r="F12" s="6">
        <v>1</v>
      </c>
      <c r="G12" s="6">
        <v>2</v>
      </c>
      <c r="H12" s="6">
        <v>144</v>
      </c>
      <c r="I12" s="6">
        <v>3</v>
      </c>
      <c r="J12" s="6">
        <v>0</v>
      </c>
      <c r="K12" s="6">
        <v>0</v>
      </c>
      <c r="L12" s="6" t="s">
        <v>19</v>
      </c>
      <c r="M12" s="6">
        <v>28</v>
      </c>
    </row>
    <row r="13" spans="1:13" x14ac:dyDescent="0.3">
      <c r="A13" s="6">
        <v>12</v>
      </c>
      <c r="B13" s="6">
        <v>2012</v>
      </c>
      <c r="C13" s="10" t="s">
        <v>56</v>
      </c>
      <c r="D13" s="6">
        <v>9</v>
      </c>
      <c r="E13" s="6">
        <v>12</v>
      </c>
      <c r="F13" s="6">
        <v>1</v>
      </c>
      <c r="G13" s="6">
        <v>0</v>
      </c>
      <c r="H13" s="6">
        <v>75</v>
      </c>
      <c r="I13" s="6">
        <v>5</v>
      </c>
      <c r="J13" s="6">
        <v>0</v>
      </c>
      <c r="K13" s="6">
        <v>0</v>
      </c>
      <c r="L13" s="6" t="s">
        <v>20</v>
      </c>
      <c r="M13" s="6">
        <v>28</v>
      </c>
    </row>
    <row r="14" spans="1:13" x14ac:dyDescent="0.3">
      <c r="A14" s="6">
        <v>13</v>
      </c>
      <c r="B14" s="6">
        <v>2012</v>
      </c>
      <c r="C14" s="10" t="s">
        <v>13</v>
      </c>
      <c r="D14" s="6">
        <v>3</v>
      </c>
      <c r="E14" s="6">
        <v>1</v>
      </c>
      <c r="F14" s="6">
        <v>0</v>
      </c>
      <c r="G14" s="6">
        <v>0</v>
      </c>
      <c r="H14" s="6">
        <v>300</v>
      </c>
      <c r="I14" s="6">
        <v>0</v>
      </c>
      <c r="J14" s="6">
        <v>0</v>
      </c>
      <c r="K14" s="6">
        <v>0</v>
      </c>
      <c r="L14" s="6" t="s">
        <v>20</v>
      </c>
      <c r="M14" s="6">
        <v>28</v>
      </c>
    </row>
    <row r="15" spans="1:13" x14ac:dyDescent="0.3">
      <c r="A15" s="6">
        <v>14</v>
      </c>
      <c r="B15" s="6">
        <v>2012</v>
      </c>
      <c r="C15" s="10" t="s">
        <v>16</v>
      </c>
      <c r="D15" s="6">
        <v>67</v>
      </c>
      <c r="E15" s="6">
        <v>53</v>
      </c>
      <c r="F15" s="6">
        <v>9</v>
      </c>
      <c r="G15" s="6">
        <v>1</v>
      </c>
      <c r="H15" s="6">
        <v>137.74</v>
      </c>
      <c r="I15" s="6">
        <v>22</v>
      </c>
      <c r="J15" s="6">
        <v>1</v>
      </c>
      <c r="K15" s="6">
        <v>0</v>
      </c>
      <c r="L15" s="6" t="s">
        <v>19</v>
      </c>
      <c r="M15" s="6">
        <v>28</v>
      </c>
    </row>
    <row r="16" spans="1:13" x14ac:dyDescent="0.3">
      <c r="A16" s="6">
        <v>15</v>
      </c>
      <c r="B16" s="6">
        <v>2012</v>
      </c>
      <c r="C16" s="10" t="s">
        <v>17</v>
      </c>
      <c r="D16" s="6">
        <v>42</v>
      </c>
      <c r="E16" s="6">
        <v>40</v>
      </c>
      <c r="F16" s="6">
        <v>2</v>
      </c>
      <c r="G16" s="6">
        <v>2</v>
      </c>
      <c r="H16" s="6">
        <v>105</v>
      </c>
      <c r="I16" s="6">
        <v>15</v>
      </c>
      <c r="J16" s="6">
        <v>0</v>
      </c>
      <c r="K16" s="6">
        <v>0</v>
      </c>
      <c r="L16" s="6" t="s">
        <v>20</v>
      </c>
      <c r="M16" s="6">
        <v>28</v>
      </c>
    </row>
    <row r="19" spans="3:13" x14ac:dyDescent="0.3">
      <c r="C19" s="18" t="s">
        <v>85</v>
      </c>
      <c r="D19" s="19">
        <f>SUM(D2:D16)/SUM(E2:E16)*100</f>
        <v>110.97560975609757</v>
      </c>
      <c r="L19" s="17" t="s">
        <v>88</v>
      </c>
      <c r="M19">
        <f>M16</f>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70C5-65C7-41CD-A7D8-899C160B21FD}">
  <dimension ref="A1:M85"/>
  <sheetViews>
    <sheetView workbookViewId="0">
      <selection activeCell="M22" sqref="M22"/>
    </sheetView>
  </sheetViews>
  <sheetFormatPr defaultRowHeight="14.4" x14ac:dyDescent="0.3"/>
  <cols>
    <col min="1" max="1" width="6.88671875" bestFit="1" customWidth="1"/>
    <col min="2" max="2" width="12" bestFit="1" customWidth="1"/>
    <col min="3" max="3" width="11.6640625" bestFit="1" customWidth="1"/>
    <col min="4" max="4" width="6.5546875" bestFit="1" customWidth="1"/>
    <col min="5" max="5" width="6" bestFit="1" customWidth="1"/>
    <col min="6" max="7" width="3.33203125" bestFit="1" customWidth="1"/>
    <col min="8" max="8" width="7" bestFit="1" customWidth="1"/>
    <col min="9" max="9" width="10.44140625" bestFit="1" customWidth="1"/>
    <col min="10" max="10" width="4.6640625" bestFit="1" customWidth="1"/>
    <col min="11" max="11" width="6" bestFit="1" customWidth="1"/>
    <col min="12" max="12" width="14.6640625" bestFit="1" customWidth="1"/>
    <col min="13" max="13" width="18.21875" bestFit="1" customWidth="1"/>
  </cols>
  <sheetData>
    <row r="1" spans="1:13" ht="18" x14ac:dyDescent="0.3">
      <c r="A1" s="2" t="s">
        <v>21</v>
      </c>
      <c r="B1" s="2" t="s">
        <v>0</v>
      </c>
      <c r="C1" s="2" t="s">
        <v>1</v>
      </c>
      <c r="D1" s="2" t="s">
        <v>2</v>
      </c>
      <c r="E1" s="2" t="s">
        <v>3</v>
      </c>
      <c r="F1" s="2" t="s">
        <v>4</v>
      </c>
      <c r="G1" s="2" t="s">
        <v>5</v>
      </c>
      <c r="H1" s="2" t="s">
        <v>6</v>
      </c>
      <c r="I1" s="2" t="s">
        <v>7</v>
      </c>
      <c r="J1" s="2" t="s">
        <v>8</v>
      </c>
      <c r="K1" s="2" t="s">
        <v>9</v>
      </c>
      <c r="L1" s="2" t="s">
        <v>10</v>
      </c>
      <c r="M1" s="2" t="s">
        <v>11</v>
      </c>
    </row>
    <row r="2" spans="1:13" x14ac:dyDescent="0.3">
      <c r="A2" s="1">
        <v>1</v>
      </c>
      <c r="B2" s="1">
        <v>2013</v>
      </c>
      <c r="C2" s="1" t="s">
        <v>13</v>
      </c>
      <c r="D2" s="1">
        <v>24</v>
      </c>
      <c r="E2" s="1">
        <v>14</v>
      </c>
      <c r="F2" s="1">
        <v>4</v>
      </c>
      <c r="G2" s="1">
        <v>1</v>
      </c>
      <c r="H2" s="1">
        <v>171.43</v>
      </c>
      <c r="I2" s="1">
        <v>4</v>
      </c>
      <c r="J2" s="1">
        <v>0</v>
      </c>
      <c r="K2" s="1">
        <v>0</v>
      </c>
      <c r="L2" s="1" t="s">
        <v>20</v>
      </c>
      <c r="M2" s="1">
        <v>24</v>
      </c>
    </row>
    <row r="3" spans="1:13" x14ac:dyDescent="0.3">
      <c r="A3" s="1">
        <v>2</v>
      </c>
      <c r="B3" s="1">
        <v>2013</v>
      </c>
      <c r="C3" s="1" t="s">
        <v>53</v>
      </c>
      <c r="D3" s="1">
        <v>46</v>
      </c>
      <c r="E3" s="1">
        <v>44</v>
      </c>
      <c r="F3" s="1">
        <v>5</v>
      </c>
      <c r="G3" s="1">
        <v>1</v>
      </c>
      <c r="H3" s="1">
        <v>104.55</v>
      </c>
      <c r="I3" s="1">
        <v>22</v>
      </c>
      <c r="J3" s="1">
        <v>0</v>
      </c>
      <c r="K3" s="1">
        <v>0</v>
      </c>
      <c r="L3" s="1" t="s">
        <v>20</v>
      </c>
      <c r="M3" s="1">
        <v>35</v>
      </c>
    </row>
    <row r="4" spans="1:13" x14ac:dyDescent="0.3">
      <c r="A4" s="1">
        <v>3</v>
      </c>
      <c r="B4" s="1">
        <v>2013</v>
      </c>
      <c r="C4" s="1" t="s">
        <v>53</v>
      </c>
      <c r="D4" s="1">
        <v>93</v>
      </c>
      <c r="E4" s="1">
        <v>47</v>
      </c>
      <c r="F4" s="1">
        <v>11</v>
      </c>
      <c r="G4" s="1">
        <v>4</v>
      </c>
      <c r="H4" s="1">
        <v>197.87</v>
      </c>
      <c r="I4" s="1">
        <v>10</v>
      </c>
      <c r="J4" s="1">
        <v>1</v>
      </c>
      <c r="K4" s="1">
        <v>0</v>
      </c>
      <c r="L4" s="1" t="s">
        <v>34</v>
      </c>
      <c r="M4" s="1">
        <v>81.5</v>
      </c>
    </row>
    <row r="5" spans="1:13" x14ac:dyDescent="0.3">
      <c r="A5" s="1">
        <v>4</v>
      </c>
      <c r="B5" s="1">
        <v>2013</v>
      </c>
      <c r="C5" s="1" t="s">
        <v>12</v>
      </c>
      <c r="D5" s="1">
        <v>35</v>
      </c>
      <c r="E5" s="1">
        <v>27</v>
      </c>
      <c r="F5" s="1">
        <v>4</v>
      </c>
      <c r="G5" s="1">
        <v>2</v>
      </c>
      <c r="H5" s="1">
        <v>129.63</v>
      </c>
      <c r="I5" s="1">
        <v>17</v>
      </c>
      <c r="J5" s="1">
        <v>0</v>
      </c>
      <c r="K5" s="1">
        <v>0</v>
      </c>
      <c r="L5" s="1" t="s">
        <v>33</v>
      </c>
      <c r="M5" s="1">
        <v>66</v>
      </c>
    </row>
    <row r="6" spans="1:13" x14ac:dyDescent="0.3">
      <c r="A6" s="1">
        <v>5</v>
      </c>
      <c r="B6" s="1">
        <v>2013</v>
      </c>
      <c r="C6" s="1" t="s">
        <v>15</v>
      </c>
      <c r="D6" s="1">
        <v>58</v>
      </c>
      <c r="E6" s="1">
        <v>47</v>
      </c>
      <c r="F6" s="1">
        <v>2</v>
      </c>
      <c r="G6" s="1">
        <v>2</v>
      </c>
      <c r="H6" s="1">
        <v>123.4</v>
      </c>
      <c r="I6" s="1">
        <v>5</v>
      </c>
      <c r="J6" s="1">
        <v>1</v>
      </c>
      <c r="K6" s="1">
        <v>0</v>
      </c>
      <c r="L6" s="1" t="s">
        <v>33</v>
      </c>
      <c r="M6" s="1">
        <v>64</v>
      </c>
    </row>
    <row r="7" spans="1:13" x14ac:dyDescent="0.3">
      <c r="A7" s="1">
        <v>6</v>
      </c>
      <c r="B7" s="1">
        <v>2013</v>
      </c>
      <c r="C7" s="1" t="s">
        <v>16</v>
      </c>
      <c r="D7" s="1">
        <v>65</v>
      </c>
      <c r="E7" s="1">
        <v>50</v>
      </c>
      <c r="F7" s="1">
        <v>7</v>
      </c>
      <c r="G7" s="1">
        <v>1</v>
      </c>
      <c r="H7" s="1">
        <v>130</v>
      </c>
      <c r="I7" s="1">
        <v>15</v>
      </c>
      <c r="J7" s="1">
        <v>1</v>
      </c>
      <c r="K7" s="1">
        <v>0</v>
      </c>
      <c r="L7" s="1" t="s">
        <v>33</v>
      </c>
      <c r="M7" s="1">
        <v>64.2</v>
      </c>
    </row>
    <row r="8" spans="1:13" x14ac:dyDescent="0.3">
      <c r="A8" s="1">
        <v>7</v>
      </c>
      <c r="B8" s="1">
        <v>2013</v>
      </c>
      <c r="C8" s="1" t="s">
        <v>14</v>
      </c>
      <c r="D8" s="1">
        <v>1</v>
      </c>
      <c r="E8" s="1">
        <v>4</v>
      </c>
      <c r="F8" s="1">
        <v>0</v>
      </c>
      <c r="G8" s="1">
        <v>0</v>
      </c>
      <c r="H8" s="1">
        <v>25</v>
      </c>
      <c r="I8" s="1">
        <v>2</v>
      </c>
      <c r="J8" s="1">
        <v>0</v>
      </c>
      <c r="K8" s="1">
        <v>0</v>
      </c>
      <c r="L8" s="1" t="s">
        <v>33</v>
      </c>
      <c r="M8" s="1">
        <v>53.67</v>
      </c>
    </row>
    <row r="9" spans="1:13" x14ac:dyDescent="0.3">
      <c r="A9" s="1">
        <v>8</v>
      </c>
      <c r="B9" s="1">
        <v>2013</v>
      </c>
      <c r="C9" s="1" t="s">
        <v>56</v>
      </c>
      <c r="D9" s="1">
        <v>11</v>
      </c>
      <c r="E9" s="1">
        <v>9</v>
      </c>
      <c r="F9" s="1">
        <v>0</v>
      </c>
      <c r="G9" s="1">
        <v>1</v>
      </c>
      <c r="H9" s="1">
        <v>122.22</v>
      </c>
      <c r="I9" s="1">
        <v>2</v>
      </c>
      <c r="J9" s="1">
        <v>0</v>
      </c>
      <c r="K9" s="1">
        <v>0</v>
      </c>
      <c r="L9" s="1" t="s">
        <v>33</v>
      </c>
      <c r="M9" s="1">
        <v>47.57</v>
      </c>
    </row>
    <row r="10" spans="1:13" x14ac:dyDescent="0.3">
      <c r="A10" s="1">
        <v>9</v>
      </c>
      <c r="B10" s="1">
        <v>2013</v>
      </c>
      <c r="C10" s="1" t="s">
        <v>13</v>
      </c>
      <c r="D10" s="1">
        <v>1</v>
      </c>
      <c r="E10" s="1">
        <v>4</v>
      </c>
      <c r="F10" s="1">
        <v>0</v>
      </c>
      <c r="G10" s="1">
        <v>0</v>
      </c>
      <c r="H10" s="1">
        <v>25</v>
      </c>
      <c r="I10" s="1">
        <v>2</v>
      </c>
      <c r="J10" s="1">
        <v>0</v>
      </c>
      <c r="K10" s="1">
        <v>0</v>
      </c>
      <c r="L10" s="1" t="s">
        <v>33</v>
      </c>
      <c r="M10" s="1">
        <v>41.75</v>
      </c>
    </row>
    <row r="11" spans="1:13" x14ac:dyDescent="0.3">
      <c r="A11" s="1">
        <v>10</v>
      </c>
      <c r="B11" s="1">
        <v>2013</v>
      </c>
      <c r="C11" s="1" t="s">
        <v>14</v>
      </c>
      <c r="D11" s="1">
        <v>32</v>
      </c>
      <c r="E11" s="1">
        <v>35</v>
      </c>
      <c r="F11" s="1">
        <v>3</v>
      </c>
      <c r="G11" s="1">
        <v>0</v>
      </c>
      <c r="H11" s="1">
        <v>91.33</v>
      </c>
      <c r="I11" s="1">
        <v>13</v>
      </c>
      <c r="J11" s="1">
        <v>0</v>
      </c>
      <c r="K11" s="1">
        <v>0</v>
      </c>
      <c r="L11" s="1" t="s">
        <v>33</v>
      </c>
      <c r="M11" s="1">
        <v>40.67</v>
      </c>
    </row>
    <row r="12" spans="1:13" x14ac:dyDescent="0.3">
      <c r="A12" s="1">
        <v>11</v>
      </c>
      <c r="B12" s="1">
        <v>2013</v>
      </c>
      <c r="C12" s="1" t="s">
        <v>56</v>
      </c>
      <c r="D12" s="1">
        <v>25</v>
      </c>
      <c r="E12" s="1">
        <v>18</v>
      </c>
      <c r="F12" s="1">
        <v>3</v>
      </c>
      <c r="G12" s="1">
        <v>0</v>
      </c>
      <c r="H12" s="1">
        <v>138.88999999999999</v>
      </c>
      <c r="I12" s="1">
        <v>4</v>
      </c>
      <c r="J12" s="1">
        <v>0</v>
      </c>
      <c r="K12" s="1">
        <v>0</v>
      </c>
      <c r="L12" s="1" t="s">
        <v>33</v>
      </c>
      <c r="M12" s="1">
        <v>39.1</v>
      </c>
    </row>
    <row r="13" spans="1:13" x14ac:dyDescent="0.3">
      <c r="A13" s="1">
        <v>12</v>
      </c>
      <c r="B13" s="1">
        <v>2013</v>
      </c>
      <c r="C13" s="1" t="s">
        <v>18</v>
      </c>
      <c r="D13" s="1">
        <v>14</v>
      </c>
      <c r="E13" s="1">
        <v>14</v>
      </c>
      <c r="F13" s="1">
        <v>1</v>
      </c>
      <c r="G13" s="1">
        <v>0</v>
      </c>
      <c r="H13" s="1">
        <v>100</v>
      </c>
      <c r="I13" s="1">
        <v>4</v>
      </c>
      <c r="J13" s="1">
        <v>0</v>
      </c>
      <c r="K13" s="1">
        <v>0</v>
      </c>
      <c r="L13" s="1" t="s">
        <v>33</v>
      </c>
      <c r="M13" s="1">
        <v>36.82</v>
      </c>
    </row>
    <row r="14" spans="1:13" x14ac:dyDescent="0.3">
      <c r="A14" s="1">
        <v>13</v>
      </c>
      <c r="B14" s="1">
        <v>2013</v>
      </c>
      <c r="C14" s="1" t="s">
        <v>16</v>
      </c>
      <c r="D14" s="1">
        <v>99</v>
      </c>
      <c r="E14" s="1">
        <v>58</v>
      </c>
      <c r="F14" s="1">
        <v>10</v>
      </c>
      <c r="G14" s="1">
        <v>4</v>
      </c>
      <c r="H14" s="1">
        <v>170.69</v>
      </c>
      <c r="I14" s="1">
        <v>15</v>
      </c>
      <c r="J14" s="1">
        <v>1</v>
      </c>
      <c r="K14" s="1">
        <v>0</v>
      </c>
      <c r="L14" s="1" t="s">
        <v>33</v>
      </c>
      <c r="M14" s="1">
        <v>42</v>
      </c>
    </row>
    <row r="15" spans="1:13" x14ac:dyDescent="0.3">
      <c r="A15" s="1">
        <v>14</v>
      </c>
      <c r="B15" s="1">
        <v>2013</v>
      </c>
      <c r="C15" s="1" t="s">
        <v>12</v>
      </c>
      <c r="D15" s="1">
        <v>17</v>
      </c>
      <c r="E15" s="1">
        <v>14</v>
      </c>
      <c r="F15" s="1">
        <v>2</v>
      </c>
      <c r="G15" s="1">
        <v>0</v>
      </c>
      <c r="H15" s="1">
        <v>121.43</v>
      </c>
      <c r="I15" s="1">
        <v>3</v>
      </c>
      <c r="J15" s="1">
        <v>0</v>
      </c>
      <c r="K15" s="1">
        <v>0</v>
      </c>
      <c r="L15" s="1" t="s">
        <v>33</v>
      </c>
      <c r="M15" s="1">
        <v>40.08</v>
      </c>
    </row>
    <row r="16" spans="1:13" x14ac:dyDescent="0.3">
      <c r="A16" s="1">
        <v>15</v>
      </c>
      <c r="B16" s="1">
        <v>2013</v>
      </c>
      <c r="C16" s="1" t="s">
        <v>18</v>
      </c>
      <c r="D16" s="1">
        <v>57</v>
      </c>
      <c r="E16" s="1">
        <v>43</v>
      </c>
      <c r="F16" s="1">
        <v>6</v>
      </c>
      <c r="G16" s="1">
        <v>2</v>
      </c>
      <c r="H16" s="1">
        <v>132.56</v>
      </c>
      <c r="I16" s="1">
        <v>21</v>
      </c>
      <c r="J16" s="1">
        <v>1</v>
      </c>
      <c r="K16" s="1">
        <v>0</v>
      </c>
      <c r="L16" s="1" t="s">
        <v>33</v>
      </c>
      <c r="M16" s="1">
        <v>41.29</v>
      </c>
    </row>
    <row r="17" spans="1:13" x14ac:dyDescent="0.3">
      <c r="A17" s="1">
        <v>16</v>
      </c>
      <c r="B17" s="1">
        <v>2013</v>
      </c>
      <c r="C17" s="1" t="s">
        <v>15</v>
      </c>
      <c r="D17" s="1">
        <v>56</v>
      </c>
      <c r="E17" s="1">
        <v>29</v>
      </c>
      <c r="F17" s="1">
        <v>6</v>
      </c>
      <c r="G17" s="1">
        <v>4</v>
      </c>
      <c r="H17" s="1">
        <v>193.1</v>
      </c>
      <c r="I17" s="1">
        <v>12</v>
      </c>
      <c r="J17" s="1">
        <v>1</v>
      </c>
      <c r="K17" s="1">
        <v>0</v>
      </c>
      <c r="L17" s="1" t="s">
        <v>34</v>
      </c>
      <c r="M17" s="1">
        <v>45.29</v>
      </c>
    </row>
    <row r="18" spans="1:13" x14ac:dyDescent="0.3">
      <c r="A18" s="8"/>
      <c r="B18" s="8"/>
      <c r="C18" s="8"/>
      <c r="D18" s="8"/>
      <c r="E18" s="8"/>
      <c r="F18" s="8"/>
      <c r="G18" s="8"/>
      <c r="H18" s="8"/>
      <c r="I18" s="8"/>
      <c r="J18" s="8"/>
      <c r="K18" s="8"/>
      <c r="L18" s="8"/>
      <c r="M18" s="8"/>
    </row>
    <row r="19" spans="1:13" x14ac:dyDescent="0.3">
      <c r="A19" s="8"/>
      <c r="B19" s="8"/>
      <c r="C19" s="8"/>
      <c r="D19" s="8"/>
      <c r="E19" s="8"/>
      <c r="F19" s="8"/>
      <c r="G19" s="8"/>
      <c r="H19" s="8"/>
      <c r="I19" s="8"/>
      <c r="J19" s="8"/>
      <c r="K19" s="8"/>
      <c r="L19" s="8"/>
      <c r="M19" s="8"/>
    </row>
    <row r="20" spans="1:13" x14ac:dyDescent="0.3">
      <c r="A20" s="8"/>
      <c r="B20" s="8"/>
      <c r="C20" s="8"/>
      <c r="D20" s="8"/>
      <c r="E20" s="8"/>
      <c r="F20" s="8"/>
      <c r="G20" s="8"/>
      <c r="H20" s="8"/>
      <c r="I20" s="8"/>
      <c r="J20" s="8"/>
      <c r="K20" s="8"/>
      <c r="L20" s="8"/>
      <c r="M20" s="8"/>
    </row>
    <row r="21" spans="1:13" x14ac:dyDescent="0.3">
      <c r="A21" s="8"/>
      <c r="B21" s="8"/>
      <c r="C21" s="8" t="s">
        <v>86</v>
      </c>
      <c r="D21" s="20">
        <f>SUM(D2:D17)/SUM(E2:E17)*100</f>
        <v>138.73085339168489</v>
      </c>
      <c r="E21" s="8"/>
      <c r="F21" s="8"/>
      <c r="G21" s="8"/>
      <c r="H21" s="8"/>
      <c r="I21" s="8"/>
      <c r="J21" s="8"/>
      <c r="K21" s="8"/>
      <c r="L21" s="8" t="s">
        <v>88</v>
      </c>
      <c r="M21" s="8">
        <f>M17</f>
        <v>45.29</v>
      </c>
    </row>
    <row r="22" spans="1:13" x14ac:dyDescent="0.3">
      <c r="A22" s="8"/>
      <c r="B22" s="8"/>
      <c r="C22" s="8"/>
      <c r="D22" s="8"/>
      <c r="E22" s="8"/>
      <c r="F22" s="8"/>
      <c r="G22" s="8"/>
      <c r="H22" s="8"/>
      <c r="I22" s="8"/>
      <c r="J22" s="8"/>
      <c r="K22" s="8"/>
      <c r="L22" s="8"/>
      <c r="M22" s="8"/>
    </row>
    <row r="23" spans="1:13" x14ac:dyDescent="0.3">
      <c r="A23" s="8"/>
      <c r="B23" s="8"/>
      <c r="C23" s="8"/>
      <c r="D23" s="8"/>
      <c r="E23" s="8"/>
      <c r="F23" s="8"/>
      <c r="G23" s="8"/>
      <c r="H23" s="8"/>
      <c r="I23" s="8"/>
      <c r="J23" s="8"/>
      <c r="K23" s="8"/>
      <c r="L23" s="8"/>
      <c r="M23" s="8"/>
    </row>
    <row r="24" spans="1:13" x14ac:dyDescent="0.3">
      <c r="A24" s="8"/>
      <c r="B24" s="8"/>
      <c r="C24" s="8"/>
      <c r="D24" s="8"/>
      <c r="E24" s="8"/>
      <c r="F24" s="8"/>
      <c r="G24" s="8"/>
      <c r="H24" s="8"/>
      <c r="I24" s="8"/>
      <c r="J24" s="8"/>
      <c r="K24" s="8"/>
      <c r="L24" s="8"/>
      <c r="M24" s="8"/>
    </row>
    <row r="25" spans="1:13" x14ac:dyDescent="0.3">
      <c r="A25" s="8"/>
      <c r="B25" s="8"/>
      <c r="C25" s="8"/>
      <c r="D25" s="8"/>
      <c r="E25" s="8"/>
      <c r="F25" s="8"/>
      <c r="G25" s="8"/>
      <c r="H25" s="8"/>
      <c r="I25" s="8"/>
      <c r="J25" s="8"/>
      <c r="K25" s="8"/>
      <c r="L25" s="8"/>
      <c r="M25" s="8"/>
    </row>
    <row r="26" spans="1:13" x14ac:dyDescent="0.3">
      <c r="A26" s="8"/>
      <c r="B26" s="8"/>
      <c r="C26" s="8"/>
      <c r="D26" s="8"/>
      <c r="E26" s="8"/>
      <c r="F26" s="8"/>
      <c r="G26" s="8"/>
      <c r="H26" s="8"/>
      <c r="I26" s="8"/>
      <c r="J26" s="8"/>
      <c r="K26" s="8"/>
      <c r="L26" s="8"/>
      <c r="M26" s="8"/>
    </row>
    <row r="27" spans="1:13" x14ac:dyDescent="0.3">
      <c r="A27" s="8"/>
      <c r="B27" s="8"/>
      <c r="C27" s="8"/>
      <c r="D27" s="8"/>
      <c r="E27" s="8"/>
      <c r="F27" s="8"/>
      <c r="G27" s="8"/>
      <c r="H27" s="8"/>
      <c r="I27" s="8"/>
      <c r="J27" s="8"/>
      <c r="K27" s="8"/>
      <c r="L27" s="8"/>
      <c r="M27" s="8"/>
    </row>
    <row r="28" spans="1:13" x14ac:dyDescent="0.3">
      <c r="A28" s="8"/>
      <c r="B28" s="8"/>
      <c r="C28" s="8"/>
      <c r="D28" s="8"/>
      <c r="E28" s="8"/>
      <c r="F28" s="8"/>
      <c r="G28" s="8"/>
      <c r="H28" s="8"/>
      <c r="I28" s="8"/>
      <c r="J28" s="8"/>
      <c r="K28" s="8"/>
      <c r="L28" s="8"/>
      <c r="M28" s="8"/>
    </row>
    <row r="29" spans="1:13" x14ac:dyDescent="0.3">
      <c r="A29" s="8"/>
      <c r="B29" s="8"/>
      <c r="C29" s="8"/>
      <c r="D29" s="8"/>
      <c r="E29" s="8"/>
      <c r="F29" s="8"/>
      <c r="G29" s="8"/>
      <c r="H29" s="8"/>
      <c r="I29" s="8"/>
      <c r="J29" s="8"/>
      <c r="K29" s="8"/>
      <c r="L29" s="8"/>
      <c r="M29" s="8"/>
    </row>
    <row r="30" spans="1:13" x14ac:dyDescent="0.3">
      <c r="A30" s="8"/>
      <c r="B30" s="8"/>
      <c r="C30" s="8"/>
      <c r="D30" s="8"/>
      <c r="E30" s="8"/>
      <c r="F30" s="8"/>
      <c r="G30" s="8"/>
      <c r="H30" s="8"/>
      <c r="I30" s="8"/>
      <c r="J30" s="8"/>
      <c r="K30" s="8"/>
      <c r="L30" s="8"/>
      <c r="M30" s="8"/>
    </row>
    <row r="31" spans="1:13" x14ac:dyDescent="0.3">
      <c r="A31" s="8"/>
      <c r="B31" s="8"/>
      <c r="C31" s="8"/>
      <c r="D31" s="8"/>
      <c r="E31" s="8"/>
      <c r="F31" s="8"/>
      <c r="G31" s="8"/>
      <c r="H31" s="8"/>
      <c r="I31" s="8"/>
      <c r="J31" s="8"/>
      <c r="K31" s="8"/>
      <c r="L31" s="8"/>
      <c r="M31" s="8"/>
    </row>
    <row r="32" spans="1:13" x14ac:dyDescent="0.3">
      <c r="A32" s="8"/>
      <c r="B32" s="8"/>
      <c r="C32" s="8"/>
      <c r="D32" s="8"/>
      <c r="E32" s="8"/>
      <c r="F32" s="8"/>
      <c r="G32" s="8"/>
      <c r="H32" s="8"/>
      <c r="I32" s="8"/>
      <c r="J32" s="8"/>
      <c r="K32" s="8"/>
      <c r="L32" s="8"/>
      <c r="M32" s="8"/>
    </row>
    <row r="33" spans="1:13" x14ac:dyDescent="0.3">
      <c r="A33" s="8"/>
      <c r="B33" s="8"/>
      <c r="C33" s="8"/>
      <c r="D33" s="8"/>
      <c r="E33" s="8"/>
      <c r="F33" s="8"/>
      <c r="G33" s="8"/>
      <c r="H33" s="8"/>
      <c r="I33" s="8"/>
      <c r="J33" s="8"/>
      <c r="K33" s="8"/>
      <c r="L33" s="8"/>
      <c r="M33" s="8"/>
    </row>
    <row r="34" spans="1:13" x14ac:dyDescent="0.3">
      <c r="A34" s="8"/>
      <c r="B34" s="8"/>
      <c r="C34" s="8"/>
      <c r="D34" s="8"/>
      <c r="E34" s="8"/>
      <c r="F34" s="8"/>
      <c r="G34" s="8"/>
      <c r="H34" s="8"/>
      <c r="I34" s="8"/>
      <c r="J34" s="8"/>
      <c r="K34" s="8"/>
      <c r="L34" s="8"/>
      <c r="M34" s="8"/>
    </row>
    <row r="35" spans="1:13" x14ac:dyDescent="0.3">
      <c r="A35" s="8"/>
      <c r="B35" s="8"/>
      <c r="C35" s="8"/>
      <c r="D35" s="8"/>
      <c r="E35" s="8"/>
      <c r="F35" s="8"/>
      <c r="G35" s="8"/>
      <c r="H35" s="8"/>
      <c r="I35" s="8"/>
      <c r="J35" s="8"/>
      <c r="K35" s="8"/>
      <c r="L35" s="8"/>
      <c r="M35" s="8"/>
    </row>
    <row r="36" spans="1:13" x14ac:dyDescent="0.3">
      <c r="A36" s="8"/>
      <c r="B36" s="8"/>
      <c r="C36" s="8"/>
      <c r="D36" s="8"/>
      <c r="E36" s="8"/>
      <c r="F36" s="8"/>
      <c r="G36" s="8"/>
      <c r="H36" s="8"/>
      <c r="I36" s="8"/>
      <c r="J36" s="8"/>
      <c r="K36" s="8"/>
      <c r="L36" s="8"/>
      <c r="M36" s="8"/>
    </row>
    <row r="37" spans="1:13" x14ac:dyDescent="0.3">
      <c r="A37" s="8"/>
      <c r="B37" s="8"/>
      <c r="C37" s="8"/>
      <c r="D37" s="8"/>
      <c r="E37" s="8"/>
      <c r="F37" s="8"/>
      <c r="G37" s="8"/>
      <c r="H37" s="8"/>
      <c r="I37" s="8"/>
      <c r="J37" s="8"/>
      <c r="K37" s="8"/>
      <c r="L37" s="8"/>
      <c r="M37" s="8"/>
    </row>
    <row r="38" spans="1:13" x14ac:dyDescent="0.3">
      <c r="A38" s="8"/>
      <c r="B38" s="8"/>
      <c r="C38" s="8"/>
      <c r="D38" s="8"/>
      <c r="E38" s="8"/>
      <c r="F38" s="8"/>
      <c r="G38" s="8"/>
      <c r="H38" s="8"/>
      <c r="I38" s="8"/>
      <c r="J38" s="8"/>
      <c r="K38" s="8"/>
      <c r="L38" s="8"/>
      <c r="M38" s="8"/>
    </row>
    <row r="39" spans="1:13" x14ac:dyDescent="0.3">
      <c r="A39" s="8"/>
      <c r="B39" s="8"/>
      <c r="C39" s="8"/>
      <c r="D39" s="8"/>
      <c r="E39" s="8"/>
      <c r="F39" s="8"/>
      <c r="G39" s="8"/>
      <c r="H39" s="8"/>
      <c r="I39" s="8"/>
      <c r="J39" s="8"/>
      <c r="K39" s="8"/>
      <c r="L39" s="8"/>
      <c r="M39" s="8"/>
    </row>
    <row r="40" spans="1:13" x14ac:dyDescent="0.3">
      <c r="A40" s="8"/>
      <c r="B40" s="8"/>
      <c r="C40" s="8"/>
      <c r="D40" s="8"/>
      <c r="E40" s="8"/>
      <c r="F40" s="8"/>
      <c r="G40" s="8"/>
      <c r="H40" s="8"/>
      <c r="I40" s="8"/>
      <c r="J40" s="8"/>
      <c r="K40" s="8"/>
      <c r="L40" s="8"/>
      <c r="M40" s="8"/>
    </row>
    <row r="41" spans="1:13" x14ac:dyDescent="0.3">
      <c r="A41" s="8"/>
      <c r="B41" s="8"/>
      <c r="C41" s="8"/>
      <c r="D41" s="8"/>
      <c r="E41" s="8"/>
      <c r="F41" s="8"/>
      <c r="G41" s="8"/>
      <c r="H41" s="8"/>
      <c r="I41" s="8"/>
      <c r="J41" s="8"/>
      <c r="K41" s="8"/>
      <c r="L41" s="8"/>
      <c r="M41" s="8"/>
    </row>
    <row r="42" spans="1:13" x14ac:dyDescent="0.3">
      <c r="A42" s="8"/>
      <c r="B42" s="8"/>
      <c r="C42" s="8"/>
      <c r="D42" s="8"/>
      <c r="E42" s="8"/>
      <c r="F42" s="8"/>
      <c r="G42" s="8"/>
      <c r="H42" s="8"/>
      <c r="I42" s="8"/>
      <c r="J42" s="8"/>
      <c r="K42" s="8"/>
      <c r="L42" s="8"/>
      <c r="M42" s="8"/>
    </row>
    <row r="43" spans="1:13" x14ac:dyDescent="0.3">
      <c r="A43" s="8"/>
      <c r="B43" s="8"/>
      <c r="C43" s="8"/>
      <c r="D43" s="8"/>
      <c r="E43" s="8"/>
      <c r="F43" s="8"/>
      <c r="G43" s="8"/>
      <c r="H43" s="8"/>
      <c r="I43" s="8"/>
      <c r="J43" s="8"/>
      <c r="K43" s="8"/>
      <c r="L43" s="8"/>
      <c r="M43" s="8"/>
    </row>
    <row r="44" spans="1:13" x14ac:dyDescent="0.3">
      <c r="A44" s="8"/>
      <c r="B44" s="8"/>
      <c r="C44" s="8"/>
      <c r="D44" s="8"/>
      <c r="E44" s="8"/>
      <c r="F44" s="8"/>
      <c r="G44" s="8"/>
      <c r="H44" s="8"/>
      <c r="I44" s="8"/>
      <c r="J44" s="8"/>
      <c r="K44" s="8"/>
      <c r="L44" s="8"/>
      <c r="M44" s="8"/>
    </row>
    <row r="45" spans="1:13" x14ac:dyDescent="0.3">
      <c r="A45" s="8"/>
      <c r="B45" s="8"/>
      <c r="C45" s="8"/>
      <c r="D45" s="8"/>
      <c r="E45" s="8"/>
      <c r="F45" s="8"/>
      <c r="G45" s="8"/>
      <c r="H45" s="8"/>
      <c r="I45" s="8"/>
      <c r="J45" s="8"/>
      <c r="K45" s="8"/>
      <c r="L45" s="8"/>
      <c r="M45" s="8"/>
    </row>
    <row r="46" spans="1:13" x14ac:dyDescent="0.3">
      <c r="A46" s="8"/>
      <c r="B46" s="8"/>
      <c r="C46" s="8"/>
      <c r="D46" s="8"/>
      <c r="E46" s="8"/>
      <c r="F46" s="8"/>
      <c r="G46" s="8"/>
      <c r="H46" s="8"/>
      <c r="I46" s="8"/>
      <c r="J46" s="8"/>
      <c r="K46" s="8"/>
      <c r="L46" s="8"/>
      <c r="M46" s="8"/>
    </row>
    <row r="47" spans="1:13" x14ac:dyDescent="0.3">
      <c r="A47" s="8"/>
      <c r="B47" s="8"/>
      <c r="C47" s="8"/>
      <c r="D47" s="8"/>
      <c r="E47" s="8"/>
      <c r="F47" s="8"/>
      <c r="G47" s="8"/>
      <c r="H47" s="8"/>
      <c r="I47" s="8"/>
      <c r="J47" s="8"/>
      <c r="K47" s="8"/>
      <c r="L47" s="8"/>
      <c r="M47" s="8"/>
    </row>
    <row r="48" spans="1:13" x14ac:dyDescent="0.3">
      <c r="A48" s="8"/>
      <c r="B48" s="8"/>
      <c r="C48" s="8"/>
      <c r="D48" s="8"/>
      <c r="E48" s="8"/>
      <c r="F48" s="8"/>
      <c r="G48" s="8"/>
      <c r="H48" s="8"/>
      <c r="I48" s="8"/>
      <c r="J48" s="8"/>
      <c r="K48" s="8"/>
      <c r="L48" s="8"/>
      <c r="M48" s="8"/>
    </row>
    <row r="49" spans="1:13" x14ac:dyDescent="0.3">
      <c r="A49" s="8"/>
      <c r="B49" s="8"/>
      <c r="C49" s="8"/>
      <c r="D49" s="8"/>
      <c r="E49" s="8"/>
      <c r="F49" s="8"/>
      <c r="G49" s="8"/>
      <c r="H49" s="8"/>
      <c r="I49" s="8"/>
      <c r="J49" s="8"/>
      <c r="K49" s="8"/>
      <c r="L49" s="8"/>
      <c r="M49" s="8"/>
    </row>
    <row r="50" spans="1:13" x14ac:dyDescent="0.3">
      <c r="A50" s="8"/>
      <c r="B50" s="8"/>
      <c r="C50" s="8"/>
      <c r="D50" s="8"/>
      <c r="E50" s="8"/>
      <c r="F50" s="8"/>
      <c r="G50" s="8"/>
      <c r="H50" s="8"/>
      <c r="I50" s="8"/>
      <c r="J50" s="8"/>
      <c r="K50" s="8"/>
      <c r="L50" s="8"/>
      <c r="M50" s="8"/>
    </row>
    <row r="51" spans="1:13" x14ac:dyDescent="0.3">
      <c r="A51" s="8"/>
      <c r="B51" s="8"/>
      <c r="C51" s="8"/>
      <c r="D51" s="8"/>
      <c r="E51" s="8"/>
      <c r="F51" s="8"/>
      <c r="G51" s="8"/>
      <c r="H51" s="8"/>
      <c r="I51" s="8"/>
      <c r="J51" s="8"/>
      <c r="K51" s="8"/>
      <c r="L51" s="8"/>
      <c r="M51" s="8"/>
    </row>
    <row r="52" spans="1:13" x14ac:dyDescent="0.3">
      <c r="A52" s="8"/>
      <c r="B52" s="8"/>
      <c r="C52" s="8"/>
      <c r="D52" s="8"/>
      <c r="E52" s="8"/>
      <c r="F52" s="8"/>
      <c r="G52" s="8"/>
      <c r="H52" s="8"/>
      <c r="I52" s="8"/>
      <c r="J52" s="8"/>
      <c r="K52" s="8"/>
      <c r="L52" s="8"/>
      <c r="M52" s="8"/>
    </row>
    <row r="53" spans="1:13" x14ac:dyDescent="0.3">
      <c r="A53" s="8"/>
      <c r="B53" s="8"/>
      <c r="C53" s="8"/>
      <c r="D53" s="8"/>
      <c r="E53" s="8"/>
      <c r="F53" s="8"/>
      <c r="G53" s="8"/>
      <c r="H53" s="8"/>
      <c r="I53" s="8"/>
      <c r="J53" s="8"/>
      <c r="K53" s="8"/>
      <c r="L53" s="8"/>
      <c r="M53" s="8"/>
    </row>
    <row r="54" spans="1:13" x14ac:dyDescent="0.3">
      <c r="A54" s="8"/>
      <c r="B54" s="8"/>
      <c r="C54" s="8"/>
      <c r="D54" s="8"/>
      <c r="E54" s="8"/>
      <c r="F54" s="8"/>
      <c r="G54" s="8"/>
      <c r="H54" s="8"/>
      <c r="I54" s="8"/>
      <c r="J54" s="8"/>
      <c r="K54" s="8"/>
      <c r="L54" s="8"/>
      <c r="M54" s="8"/>
    </row>
    <row r="55" spans="1:13" x14ac:dyDescent="0.3">
      <c r="A55" s="8"/>
      <c r="B55" s="8"/>
      <c r="C55" s="8"/>
      <c r="D55" s="8"/>
      <c r="E55" s="8"/>
      <c r="F55" s="8"/>
      <c r="G55" s="8"/>
      <c r="H55" s="8"/>
      <c r="I55" s="8"/>
      <c r="J55" s="8"/>
      <c r="K55" s="8"/>
      <c r="L55" s="8"/>
      <c r="M55" s="8"/>
    </row>
    <row r="56" spans="1:13" x14ac:dyDescent="0.3">
      <c r="A56" s="8"/>
      <c r="B56" s="8"/>
      <c r="C56" s="8"/>
      <c r="D56" s="8"/>
      <c r="E56" s="8"/>
      <c r="F56" s="8"/>
      <c r="G56" s="8"/>
      <c r="H56" s="8"/>
      <c r="I56" s="8"/>
      <c r="J56" s="8"/>
      <c r="K56" s="8"/>
      <c r="L56" s="8"/>
      <c r="M56" s="8"/>
    </row>
    <row r="57" spans="1:13" x14ac:dyDescent="0.3">
      <c r="A57" s="8"/>
      <c r="B57" s="8"/>
      <c r="C57" s="8"/>
      <c r="D57" s="8"/>
      <c r="E57" s="8"/>
      <c r="F57" s="8"/>
      <c r="G57" s="8"/>
      <c r="H57" s="8"/>
      <c r="I57" s="8"/>
      <c r="J57" s="8"/>
      <c r="K57" s="8"/>
      <c r="L57" s="8"/>
      <c r="M57" s="8"/>
    </row>
    <row r="58" spans="1:13" x14ac:dyDescent="0.3">
      <c r="A58" s="8"/>
      <c r="B58" s="8"/>
      <c r="C58" s="8"/>
      <c r="D58" s="8"/>
      <c r="E58" s="8"/>
      <c r="F58" s="8"/>
      <c r="G58" s="8"/>
      <c r="H58" s="8"/>
      <c r="I58" s="8"/>
      <c r="J58" s="8"/>
      <c r="K58" s="8"/>
      <c r="L58" s="8"/>
      <c r="M58" s="8"/>
    </row>
    <row r="59" spans="1:13" x14ac:dyDescent="0.3">
      <c r="A59" s="8"/>
      <c r="B59" s="8"/>
      <c r="C59" s="8"/>
      <c r="D59" s="8"/>
      <c r="E59" s="8"/>
      <c r="F59" s="8"/>
      <c r="G59" s="8"/>
      <c r="H59" s="8"/>
      <c r="I59" s="8"/>
      <c r="J59" s="8"/>
      <c r="K59" s="8"/>
      <c r="L59" s="8"/>
      <c r="M59" s="8"/>
    </row>
    <row r="60" spans="1:13" x14ac:dyDescent="0.3">
      <c r="A60" s="8"/>
      <c r="B60" s="8"/>
      <c r="C60" s="8"/>
      <c r="D60" s="8"/>
      <c r="E60" s="8"/>
      <c r="F60" s="8"/>
      <c r="G60" s="8"/>
      <c r="H60" s="8"/>
      <c r="I60" s="8"/>
      <c r="J60" s="8"/>
      <c r="K60" s="8"/>
      <c r="L60" s="8"/>
      <c r="M60" s="8"/>
    </row>
    <row r="61" spans="1:13" x14ac:dyDescent="0.3">
      <c r="A61" s="8"/>
      <c r="B61" s="8"/>
      <c r="C61" s="8"/>
      <c r="D61" s="8"/>
      <c r="E61" s="8"/>
      <c r="F61" s="8"/>
      <c r="G61" s="8"/>
      <c r="H61" s="8"/>
      <c r="I61" s="8"/>
      <c r="J61" s="8"/>
      <c r="K61" s="8"/>
      <c r="L61" s="8"/>
      <c r="M61" s="8"/>
    </row>
    <row r="62" spans="1:13" x14ac:dyDescent="0.3">
      <c r="A62" s="8"/>
      <c r="B62" s="8"/>
      <c r="C62" s="8"/>
      <c r="D62" s="8"/>
      <c r="E62" s="8"/>
      <c r="F62" s="8"/>
      <c r="G62" s="8"/>
      <c r="H62" s="8"/>
      <c r="I62" s="8"/>
      <c r="J62" s="8"/>
      <c r="K62" s="8"/>
      <c r="L62" s="8"/>
      <c r="M62" s="8"/>
    </row>
    <row r="63" spans="1:13" x14ac:dyDescent="0.3">
      <c r="A63" s="8"/>
      <c r="B63" s="8"/>
      <c r="C63" s="8"/>
      <c r="D63" s="8"/>
      <c r="E63" s="8"/>
      <c r="F63" s="8"/>
      <c r="G63" s="8"/>
      <c r="H63" s="8"/>
      <c r="I63" s="8"/>
      <c r="J63" s="8"/>
      <c r="K63" s="8"/>
      <c r="L63" s="8"/>
      <c r="M63" s="8"/>
    </row>
    <row r="64" spans="1:13" x14ac:dyDescent="0.3">
      <c r="A64" s="8"/>
      <c r="B64" s="8"/>
      <c r="C64" s="8"/>
      <c r="D64" s="8"/>
      <c r="E64" s="8"/>
      <c r="F64" s="8"/>
      <c r="G64" s="8"/>
      <c r="H64" s="8"/>
      <c r="I64" s="8"/>
      <c r="J64" s="8"/>
      <c r="K64" s="8"/>
      <c r="L64" s="8"/>
      <c r="M64" s="8"/>
    </row>
    <row r="65" spans="1:13" x14ac:dyDescent="0.3">
      <c r="A65" s="8"/>
      <c r="B65" s="8"/>
      <c r="C65" s="8"/>
      <c r="D65" s="8"/>
      <c r="E65" s="8"/>
      <c r="F65" s="8"/>
      <c r="G65" s="8"/>
      <c r="H65" s="8"/>
      <c r="I65" s="8"/>
      <c r="J65" s="8"/>
      <c r="K65" s="8"/>
      <c r="L65" s="8"/>
      <c r="M65" s="8"/>
    </row>
    <row r="66" spans="1:13" x14ac:dyDescent="0.3">
      <c r="A66" s="8"/>
      <c r="B66" s="8"/>
      <c r="C66" s="8"/>
      <c r="D66" s="8"/>
      <c r="E66" s="8"/>
      <c r="F66" s="8"/>
      <c r="G66" s="8"/>
      <c r="H66" s="8"/>
      <c r="I66" s="8"/>
      <c r="J66" s="8"/>
      <c r="K66" s="8"/>
      <c r="L66" s="8"/>
      <c r="M66" s="8"/>
    </row>
    <row r="67" spans="1:13" x14ac:dyDescent="0.3">
      <c r="A67" s="8"/>
      <c r="B67" s="8"/>
      <c r="C67" s="8"/>
      <c r="D67" s="8"/>
      <c r="E67" s="8"/>
      <c r="F67" s="8"/>
      <c r="G67" s="8"/>
      <c r="H67" s="8"/>
      <c r="I67" s="8"/>
      <c r="J67" s="8"/>
      <c r="K67" s="8"/>
      <c r="L67" s="8"/>
      <c r="M67" s="8"/>
    </row>
    <row r="68" spans="1:13" x14ac:dyDescent="0.3">
      <c r="A68" s="8"/>
      <c r="B68" s="8"/>
      <c r="C68" s="8"/>
      <c r="D68" s="8"/>
      <c r="E68" s="8"/>
      <c r="F68" s="8"/>
      <c r="G68" s="8"/>
      <c r="H68" s="8"/>
      <c r="I68" s="8"/>
      <c r="J68" s="8"/>
      <c r="K68" s="8"/>
      <c r="L68" s="8"/>
      <c r="M68" s="8"/>
    </row>
    <row r="69" spans="1:13" x14ac:dyDescent="0.3">
      <c r="A69" s="8"/>
      <c r="B69" s="8"/>
      <c r="C69" s="8"/>
      <c r="D69" s="8"/>
      <c r="E69" s="8"/>
      <c r="F69" s="8"/>
      <c r="G69" s="8"/>
      <c r="H69" s="8"/>
      <c r="I69" s="8"/>
      <c r="J69" s="8"/>
      <c r="K69" s="8"/>
      <c r="L69" s="8"/>
      <c r="M69" s="8"/>
    </row>
    <row r="70" spans="1:13" x14ac:dyDescent="0.3">
      <c r="A70" s="8"/>
      <c r="B70" s="8"/>
      <c r="C70" s="8"/>
      <c r="D70" s="8"/>
      <c r="E70" s="8"/>
      <c r="F70" s="8"/>
      <c r="G70" s="8"/>
      <c r="H70" s="8"/>
      <c r="I70" s="8"/>
      <c r="J70" s="8"/>
      <c r="K70" s="8"/>
      <c r="L70" s="8"/>
      <c r="M70" s="8"/>
    </row>
    <row r="71" spans="1:13" x14ac:dyDescent="0.3">
      <c r="A71" s="8"/>
      <c r="B71" s="8"/>
      <c r="C71" s="8"/>
      <c r="D71" s="8"/>
      <c r="E71" s="8"/>
      <c r="F71" s="8"/>
      <c r="G71" s="8"/>
      <c r="H71" s="8"/>
      <c r="I71" s="8"/>
      <c r="J71" s="8"/>
      <c r="K71" s="8"/>
      <c r="L71" s="8"/>
      <c r="M71" s="8"/>
    </row>
    <row r="72" spans="1:13" x14ac:dyDescent="0.3">
      <c r="A72" s="8"/>
      <c r="B72" s="8"/>
      <c r="C72" s="8"/>
      <c r="D72" s="8"/>
      <c r="E72" s="8"/>
      <c r="F72" s="8"/>
      <c r="G72" s="8"/>
      <c r="H72" s="8"/>
      <c r="I72" s="8"/>
      <c r="J72" s="8"/>
      <c r="K72" s="8"/>
      <c r="L72" s="8"/>
      <c r="M72" s="8"/>
    </row>
    <row r="73" spans="1:13" x14ac:dyDescent="0.3">
      <c r="A73" s="8"/>
      <c r="B73" s="8"/>
      <c r="C73" s="8"/>
      <c r="D73" s="8"/>
      <c r="E73" s="8"/>
      <c r="F73" s="8"/>
      <c r="G73" s="8"/>
      <c r="H73" s="8"/>
      <c r="I73" s="8"/>
      <c r="J73" s="8"/>
      <c r="K73" s="8"/>
      <c r="L73" s="8"/>
      <c r="M73" s="8"/>
    </row>
    <row r="74" spans="1:13" x14ac:dyDescent="0.3">
      <c r="A74" s="8"/>
      <c r="B74" s="8"/>
      <c r="C74" s="8"/>
      <c r="D74" s="8"/>
      <c r="E74" s="8"/>
      <c r="F74" s="8"/>
      <c r="G74" s="8"/>
      <c r="H74" s="8"/>
      <c r="I74" s="8"/>
      <c r="J74" s="8"/>
      <c r="K74" s="8"/>
      <c r="L74" s="8"/>
      <c r="M74" s="8"/>
    </row>
    <row r="75" spans="1:13" x14ac:dyDescent="0.3">
      <c r="A75" s="8"/>
      <c r="B75" s="8"/>
      <c r="C75" s="8"/>
      <c r="D75" s="8"/>
      <c r="E75" s="8"/>
      <c r="F75" s="8"/>
      <c r="G75" s="8"/>
      <c r="H75" s="8"/>
      <c r="I75" s="8"/>
      <c r="J75" s="8"/>
      <c r="K75" s="8"/>
      <c r="L75" s="8"/>
      <c r="M75" s="8"/>
    </row>
    <row r="76" spans="1:13" x14ac:dyDescent="0.3">
      <c r="A76" s="8"/>
      <c r="B76" s="8"/>
      <c r="C76" s="8"/>
      <c r="D76" s="8"/>
      <c r="E76" s="8"/>
      <c r="F76" s="8"/>
      <c r="G76" s="8"/>
      <c r="H76" s="8"/>
      <c r="I76" s="8"/>
      <c r="J76" s="8"/>
      <c r="K76" s="8"/>
      <c r="L76" s="8"/>
      <c r="M76" s="8"/>
    </row>
    <row r="77" spans="1:13" x14ac:dyDescent="0.3">
      <c r="A77" s="8"/>
      <c r="B77" s="8"/>
      <c r="C77" s="8"/>
      <c r="D77" s="8"/>
      <c r="E77" s="8"/>
      <c r="F77" s="8"/>
      <c r="G77" s="8"/>
      <c r="H77" s="8"/>
      <c r="I77" s="8"/>
      <c r="J77" s="8"/>
      <c r="K77" s="8"/>
      <c r="L77" s="8"/>
      <c r="M77" s="8"/>
    </row>
    <row r="78" spans="1:13" x14ac:dyDescent="0.3">
      <c r="A78" s="8"/>
      <c r="B78" s="8"/>
      <c r="C78" s="8"/>
      <c r="D78" s="8"/>
      <c r="E78" s="8"/>
      <c r="F78" s="8"/>
      <c r="G78" s="8"/>
      <c r="H78" s="8"/>
      <c r="I78" s="8"/>
      <c r="J78" s="8"/>
      <c r="K78" s="8"/>
      <c r="L78" s="8"/>
      <c r="M78" s="8"/>
    </row>
    <row r="79" spans="1:13" x14ac:dyDescent="0.3">
      <c r="A79" s="8"/>
      <c r="B79" s="8"/>
      <c r="C79" s="8"/>
      <c r="D79" s="8"/>
      <c r="E79" s="8"/>
      <c r="F79" s="8"/>
      <c r="G79" s="8"/>
      <c r="H79" s="8"/>
      <c r="I79" s="8"/>
      <c r="J79" s="8"/>
      <c r="K79" s="8"/>
      <c r="L79" s="8"/>
      <c r="M79" s="8"/>
    </row>
    <row r="80" spans="1:13" x14ac:dyDescent="0.3">
      <c r="A80" s="8"/>
      <c r="B80" s="8"/>
      <c r="C80" s="8"/>
      <c r="D80" s="8"/>
      <c r="E80" s="8"/>
      <c r="F80" s="8"/>
      <c r="G80" s="8"/>
      <c r="H80" s="8"/>
      <c r="I80" s="8"/>
      <c r="J80" s="8"/>
      <c r="K80" s="8"/>
      <c r="L80" s="8"/>
      <c r="M80" s="8"/>
    </row>
    <row r="81" spans="1:13" x14ac:dyDescent="0.3">
      <c r="A81" s="8"/>
      <c r="B81" s="8"/>
      <c r="C81" s="8"/>
      <c r="D81" s="8"/>
      <c r="E81" s="8"/>
      <c r="F81" s="8"/>
      <c r="G81" s="8"/>
      <c r="H81" s="8"/>
      <c r="I81" s="8"/>
      <c r="J81" s="8"/>
      <c r="K81" s="8"/>
      <c r="L81" s="8"/>
      <c r="M81" s="8"/>
    </row>
    <row r="82" spans="1:13" x14ac:dyDescent="0.3">
      <c r="A82" s="8"/>
      <c r="B82" s="8"/>
      <c r="C82" s="8"/>
      <c r="D82" s="8"/>
      <c r="E82" s="8"/>
      <c r="F82" s="8"/>
      <c r="G82" s="8"/>
      <c r="H82" s="8"/>
      <c r="I82" s="8"/>
      <c r="J82" s="8"/>
      <c r="K82" s="8"/>
      <c r="L82" s="8"/>
      <c r="M82" s="8"/>
    </row>
    <row r="83" spans="1:13" x14ac:dyDescent="0.3">
      <c r="A83" s="8"/>
      <c r="B83" s="8"/>
      <c r="C83" s="8"/>
      <c r="D83" s="8"/>
      <c r="E83" s="8"/>
      <c r="F83" s="8"/>
      <c r="G83" s="8"/>
      <c r="H83" s="8"/>
      <c r="I83" s="8"/>
      <c r="J83" s="8"/>
      <c r="K83" s="8"/>
      <c r="L83" s="8"/>
      <c r="M83" s="8"/>
    </row>
    <row r="84" spans="1:13" x14ac:dyDescent="0.3">
      <c r="A84" s="8"/>
      <c r="B84" s="8"/>
      <c r="C84" s="8"/>
      <c r="D84" s="8"/>
      <c r="E84" s="8"/>
      <c r="F84" s="8"/>
      <c r="G84" s="8"/>
      <c r="H84" s="8"/>
      <c r="I84" s="8"/>
      <c r="J84" s="8"/>
      <c r="K84" s="8"/>
      <c r="L84" s="8"/>
      <c r="M84" s="8"/>
    </row>
    <row r="85" spans="1:13" x14ac:dyDescent="0.3">
      <c r="A85" s="8"/>
      <c r="B85" s="8"/>
      <c r="C85" s="8"/>
      <c r="D85" s="8"/>
      <c r="E85" s="8"/>
      <c r="F85" s="8"/>
      <c r="G85" s="8"/>
      <c r="H85" s="8"/>
      <c r="I85" s="8"/>
      <c r="J85" s="8"/>
      <c r="K85" s="8"/>
      <c r="L85" s="8"/>
      <c r="M85"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5DB6-42E6-49FD-B343-704F9988894D}">
  <dimension ref="A1:M18"/>
  <sheetViews>
    <sheetView workbookViewId="0">
      <selection activeCell="M19" sqref="M19"/>
    </sheetView>
  </sheetViews>
  <sheetFormatPr defaultRowHeight="14.4" x14ac:dyDescent="0.3"/>
  <cols>
    <col min="3" max="3" width="10.109375" customWidth="1"/>
  </cols>
  <sheetData>
    <row r="1" spans="1:13" ht="28.8" x14ac:dyDescent="0.3">
      <c r="A1" s="9" t="s">
        <v>21</v>
      </c>
      <c r="B1" s="9" t="s">
        <v>0</v>
      </c>
      <c r="C1" s="9" t="s">
        <v>1</v>
      </c>
      <c r="D1" s="9" t="s">
        <v>2</v>
      </c>
      <c r="E1" s="9" t="s">
        <v>3</v>
      </c>
      <c r="F1" s="9" t="s">
        <v>4</v>
      </c>
      <c r="G1" s="9" t="s">
        <v>5</v>
      </c>
      <c r="H1" s="9" t="s">
        <v>6</v>
      </c>
      <c r="I1" s="9" t="s">
        <v>7</v>
      </c>
      <c r="J1" s="9" t="s">
        <v>8</v>
      </c>
      <c r="K1" s="9" t="s">
        <v>9</v>
      </c>
      <c r="L1" s="9" t="s">
        <v>10</v>
      </c>
      <c r="M1" s="9" t="s">
        <v>11</v>
      </c>
    </row>
    <row r="2" spans="1:13" x14ac:dyDescent="0.3">
      <c r="A2" s="6">
        <v>1</v>
      </c>
      <c r="B2" s="6">
        <v>2014</v>
      </c>
      <c r="C2" s="6" t="s">
        <v>16</v>
      </c>
      <c r="D2" s="6">
        <v>49</v>
      </c>
      <c r="E2" s="6">
        <v>38</v>
      </c>
      <c r="F2" s="6">
        <v>2</v>
      </c>
      <c r="G2" s="6">
        <v>3</v>
      </c>
      <c r="H2" s="6">
        <v>128.94999999999999</v>
      </c>
      <c r="I2" s="6">
        <v>10</v>
      </c>
      <c r="J2" s="6">
        <v>0</v>
      </c>
      <c r="K2" s="6">
        <v>0</v>
      </c>
      <c r="L2" s="6" t="s">
        <v>19</v>
      </c>
      <c r="M2" s="6">
        <v>0</v>
      </c>
    </row>
    <row r="3" spans="1:13" x14ac:dyDescent="0.3">
      <c r="A3" s="6">
        <v>2</v>
      </c>
      <c r="B3" s="6">
        <v>2014</v>
      </c>
      <c r="C3" s="6" t="s">
        <v>13</v>
      </c>
      <c r="D3" s="6">
        <v>0</v>
      </c>
      <c r="E3" s="6">
        <v>2</v>
      </c>
      <c r="F3" s="6">
        <v>0</v>
      </c>
      <c r="G3" s="6">
        <v>0</v>
      </c>
      <c r="H3" s="6">
        <v>0</v>
      </c>
      <c r="I3" s="6">
        <v>2</v>
      </c>
      <c r="J3" s="6">
        <v>0</v>
      </c>
      <c r="K3" s="6">
        <v>0</v>
      </c>
      <c r="L3" s="6" t="s">
        <v>20</v>
      </c>
      <c r="M3" s="6">
        <v>49</v>
      </c>
    </row>
    <row r="4" spans="1:13" x14ac:dyDescent="0.3">
      <c r="A4" s="6">
        <v>3</v>
      </c>
      <c r="B4" s="6">
        <v>2014</v>
      </c>
      <c r="C4" s="6" t="s">
        <v>12</v>
      </c>
      <c r="D4" s="6">
        <v>31</v>
      </c>
      <c r="E4" s="6">
        <v>23</v>
      </c>
      <c r="F4" s="6">
        <v>4</v>
      </c>
      <c r="G4" s="6">
        <v>0</v>
      </c>
      <c r="H4" s="6">
        <v>134.78</v>
      </c>
      <c r="I4" s="6">
        <v>4</v>
      </c>
      <c r="J4" s="6">
        <v>0</v>
      </c>
      <c r="K4" s="6">
        <v>0</v>
      </c>
      <c r="L4" s="6" t="s">
        <v>20</v>
      </c>
      <c r="M4" s="6">
        <v>40</v>
      </c>
    </row>
    <row r="5" spans="1:13" x14ac:dyDescent="0.3">
      <c r="A5" s="6">
        <v>4</v>
      </c>
      <c r="B5" s="6">
        <v>2014</v>
      </c>
      <c r="C5" s="6" t="s">
        <v>14</v>
      </c>
      <c r="D5" s="6">
        <v>21</v>
      </c>
      <c r="E5" s="6">
        <v>25</v>
      </c>
      <c r="F5" s="6">
        <v>3</v>
      </c>
      <c r="G5" s="6">
        <v>0</v>
      </c>
      <c r="H5" s="6">
        <v>84</v>
      </c>
      <c r="I5" s="6">
        <v>13</v>
      </c>
      <c r="J5" s="6">
        <v>0</v>
      </c>
      <c r="K5" s="6">
        <v>0</v>
      </c>
      <c r="L5" s="6" t="s">
        <v>20</v>
      </c>
      <c r="M5" s="6">
        <v>33.67</v>
      </c>
    </row>
    <row r="6" spans="1:13" x14ac:dyDescent="0.3">
      <c r="A6" s="6">
        <v>5</v>
      </c>
      <c r="B6" s="6">
        <v>2014</v>
      </c>
      <c r="C6" s="6" t="s">
        <v>18</v>
      </c>
      <c r="D6" s="6">
        <v>4</v>
      </c>
      <c r="E6" s="6">
        <v>2</v>
      </c>
      <c r="F6" s="6">
        <v>1</v>
      </c>
      <c r="G6" s="6">
        <v>0</v>
      </c>
      <c r="H6" s="6">
        <v>200</v>
      </c>
      <c r="I6" s="6">
        <v>1</v>
      </c>
      <c r="J6" s="6">
        <v>0</v>
      </c>
      <c r="K6" s="6">
        <v>0</v>
      </c>
      <c r="L6" s="6" t="s">
        <v>20</v>
      </c>
      <c r="M6" s="6">
        <v>26.25</v>
      </c>
    </row>
    <row r="7" spans="1:13" x14ac:dyDescent="0.3">
      <c r="A7" s="6">
        <v>6</v>
      </c>
      <c r="B7" s="6">
        <v>2014</v>
      </c>
      <c r="C7" s="6" t="s">
        <v>53</v>
      </c>
      <c r="D7" s="6">
        <v>0</v>
      </c>
      <c r="E7" s="6">
        <v>5</v>
      </c>
      <c r="F7" s="6">
        <v>0</v>
      </c>
      <c r="G7" s="6">
        <v>0</v>
      </c>
      <c r="H7" s="6">
        <v>0</v>
      </c>
      <c r="I7" s="6">
        <v>5</v>
      </c>
      <c r="J7" s="6">
        <v>0</v>
      </c>
      <c r="K7" s="6">
        <v>0</v>
      </c>
      <c r="L7" s="6" t="s">
        <v>20</v>
      </c>
      <c r="M7" s="6">
        <v>21</v>
      </c>
    </row>
    <row r="8" spans="1:13" x14ac:dyDescent="0.3">
      <c r="A8" s="6">
        <v>7</v>
      </c>
      <c r="B8" s="6">
        <v>2014</v>
      </c>
      <c r="C8" s="6" t="s">
        <v>13</v>
      </c>
      <c r="D8" s="6">
        <v>35</v>
      </c>
      <c r="E8" s="6">
        <v>28</v>
      </c>
      <c r="F8" s="6">
        <v>2</v>
      </c>
      <c r="G8" s="6">
        <v>2</v>
      </c>
      <c r="H8" s="6">
        <v>125</v>
      </c>
      <c r="I8" s="6">
        <v>9</v>
      </c>
      <c r="J8" s="6">
        <v>0</v>
      </c>
      <c r="K8" s="6">
        <v>0</v>
      </c>
      <c r="L8" s="6" t="s">
        <v>20</v>
      </c>
      <c r="M8" s="6">
        <v>23.33</v>
      </c>
    </row>
    <row r="9" spans="1:13" x14ac:dyDescent="0.3">
      <c r="A9" s="6">
        <v>8</v>
      </c>
      <c r="B9" s="6">
        <v>2014</v>
      </c>
      <c r="C9" s="6" t="s">
        <v>18</v>
      </c>
      <c r="D9" s="6">
        <v>0</v>
      </c>
      <c r="E9" s="6">
        <v>1</v>
      </c>
      <c r="F9" s="6">
        <v>0</v>
      </c>
      <c r="G9" s="6">
        <v>0</v>
      </c>
      <c r="H9" s="6">
        <v>0</v>
      </c>
      <c r="I9" s="6">
        <v>1</v>
      </c>
      <c r="J9" s="6">
        <v>0</v>
      </c>
      <c r="K9" s="6">
        <v>0</v>
      </c>
      <c r="L9" s="6" t="s">
        <v>20</v>
      </c>
      <c r="M9" s="6">
        <v>20</v>
      </c>
    </row>
    <row r="10" spans="1:13" x14ac:dyDescent="0.3">
      <c r="A10" s="6">
        <v>9</v>
      </c>
      <c r="B10" s="6">
        <v>2014</v>
      </c>
      <c r="C10" s="6" t="s">
        <v>14</v>
      </c>
      <c r="D10" s="6">
        <v>4</v>
      </c>
      <c r="E10" s="6">
        <v>9</v>
      </c>
      <c r="F10" s="6">
        <v>1</v>
      </c>
      <c r="G10" s="6">
        <v>0</v>
      </c>
      <c r="H10" s="6">
        <v>44.44</v>
      </c>
      <c r="I10" s="6">
        <v>8</v>
      </c>
      <c r="J10" s="6">
        <v>0</v>
      </c>
      <c r="K10" s="6">
        <v>0</v>
      </c>
      <c r="L10" s="6" t="s">
        <v>20</v>
      </c>
      <c r="M10" s="6">
        <v>18</v>
      </c>
    </row>
    <row r="11" spans="1:13" x14ac:dyDescent="0.3">
      <c r="A11" s="6">
        <v>10</v>
      </c>
      <c r="B11" s="6">
        <v>2014</v>
      </c>
      <c r="C11" s="6" t="s">
        <v>16</v>
      </c>
      <c r="D11" s="6">
        <v>10</v>
      </c>
      <c r="E11" s="6">
        <v>11</v>
      </c>
      <c r="F11" s="6">
        <v>0</v>
      </c>
      <c r="G11" s="6">
        <v>0</v>
      </c>
      <c r="H11" s="6">
        <v>90.91</v>
      </c>
      <c r="I11" s="6">
        <v>1</v>
      </c>
      <c r="J11" s="6">
        <v>0</v>
      </c>
      <c r="K11" s="6">
        <v>0</v>
      </c>
      <c r="L11" s="6" t="s">
        <v>20</v>
      </c>
      <c r="M11" s="6">
        <v>17.11</v>
      </c>
    </row>
    <row r="12" spans="1:13" x14ac:dyDescent="0.3">
      <c r="A12" s="6">
        <v>11</v>
      </c>
      <c r="B12" s="6">
        <v>2014</v>
      </c>
      <c r="C12" s="6" t="s">
        <v>15</v>
      </c>
      <c r="D12" s="6">
        <v>27</v>
      </c>
      <c r="E12" s="6">
        <v>29</v>
      </c>
      <c r="F12" s="6">
        <v>1</v>
      </c>
      <c r="G12" s="6">
        <v>1</v>
      </c>
      <c r="H12" s="6">
        <v>93.1</v>
      </c>
      <c r="I12" s="6">
        <v>10</v>
      </c>
      <c r="J12" s="6">
        <v>0</v>
      </c>
      <c r="K12" s="6">
        <v>0</v>
      </c>
      <c r="L12" s="6" t="s">
        <v>20</v>
      </c>
      <c r="M12" s="6">
        <v>18.100000000000001</v>
      </c>
    </row>
    <row r="13" spans="1:13" x14ac:dyDescent="0.3">
      <c r="A13" s="6">
        <v>12</v>
      </c>
      <c r="B13" s="6">
        <v>2014</v>
      </c>
      <c r="C13" s="6" t="s">
        <v>53</v>
      </c>
      <c r="D13" s="6">
        <v>67</v>
      </c>
      <c r="E13" s="6">
        <v>41</v>
      </c>
      <c r="F13" s="6">
        <v>4</v>
      </c>
      <c r="G13" s="6">
        <v>4</v>
      </c>
      <c r="H13" s="6">
        <v>163.41</v>
      </c>
      <c r="I13" s="6">
        <v>6</v>
      </c>
      <c r="J13" s="6">
        <v>1</v>
      </c>
      <c r="K13" s="6">
        <v>0</v>
      </c>
      <c r="L13" s="6" t="s">
        <v>20</v>
      </c>
      <c r="M13" s="6">
        <v>22.55</v>
      </c>
    </row>
    <row r="14" spans="1:13" x14ac:dyDescent="0.3">
      <c r="A14" s="6">
        <v>13</v>
      </c>
      <c r="B14" s="6">
        <v>2014</v>
      </c>
      <c r="C14" s="6" t="s">
        <v>12</v>
      </c>
      <c r="D14" s="6">
        <v>38</v>
      </c>
      <c r="E14" s="6">
        <v>31</v>
      </c>
      <c r="F14" s="6">
        <v>3</v>
      </c>
      <c r="G14" s="6">
        <v>1</v>
      </c>
      <c r="H14" s="6">
        <v>122.58</v>
      </c>
      <c r="I14" s="6">
        <v>7</v>
      </c>
      <c r="J14" s="6">
        <v>0</v>
      </c>
      <c r="K14" s="6">
        <v>0</v>
      </c>
      <c r="L14" s="6" t="s">
        <v>20</v>
      </c>
      <c r="M14" s="6">
        <v>23.83</v>
      </c>
    </row>
    <row r="15" spans="1:13" x14ac:dyDescent="0.3">
      <c r="A15" s="6">
        <v>14</v>
      </c>
      <c r="B15" s="6">
        <v>2014</v>
      </c>
      <c r="C15" s="6" t="s">
        <v>15</v>
      </c>
      <c r="D15" s="6">
        <v>73</v>
      </c>
      <c r="E15" s="6">
        <v>49</v>
      </c>
      <c r="F15" s="6">
        <v>2</v>
      </c>
      <c r="G15" s="6">
        <v>5</v>
      </c>
      <c r="H15" s="6">
        <v>148.97999999999999</v>
      </c>
      <c r="I15" s="6">
        <v>7</v>
      </c>
      <c r="J15" s="6">
        <v>1</v>
      </c>
      <c r="K15" s="6">
        <v>0</v>
      </c>
      <c r="L15" s="6" t="s">
        <v>20</v>
      </c>
      <c r="M15" s="6">
        <v>27.62</v>
      </c>
    </row>
    <row r="18" spans="3:13" x14ac:dyDescent="0.3">
      <c r="C18" s="17" t="s">
        <v>86</v>
      </c>
      <c r="D18" s="19">
        <f>SUM(D2:D15)/SUM(E2:E15)*100</f>
        <v>122.10884353741496</v>
      </c>
      <c r="L18" s="17" t="s">
        <v>88</v>
      </c>
      <c r="M18">
        <f>M15</f>
        <v>27.62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EB44-D72F-49D0-BEB4-2AFF49208EBF}">
  <dimension ref="A1:M20"/>
  <sheetViews>
    <sheetView workbookViewId="0">
      <selection activeCell="M21" sqref="M21"/>
    </sheetView>
  </sheetViews>
  <sheetFormatPr defaultRowHeight="14.4" x14ac:dyDescent="0.3"/>
  <cols>
    <col min="1" max="1" width="5.6640625" bestFit="1" customWidth="1"/>
    <col min="2" max="2" width="6.44140625" bestFit="1" customWidth="1"/>
    <col min="3" max="3" width="9.5546875" bestFit="1" customWidth="1"/>
    <col min="4" max="4" width="6.5546875" bestFit="1" customWidth="1"/>
    <col min="5" max="5" width="4.77734375" bestFit="1" customWidth="1"/>
    <col min="6" max="7" width="2.77734375" bestFit="1" customWidth="1"/>
    <col min="8" max="8" width="6.5546875" bestFit="1" customWidth="1"/>
    <col min="9" max="9" width="8.21875" bestFit="1" customWidth="1"/>
    <col min="10" max="10" width="3.77734375" bestFit="1" customWidth="1"/>
    <col min="11" max="11" width="4.77734375" bestFit="1" customWidth="1"/>
    <col min="12" max="12" width="8.109375" bestFit="1" customWidth="1"/>
    <col min="13" max="13" width="7.88671875" bestFit="1" customWidth="1"/>
  </cols>
  <sheetData>
    <row r="1" spans="1:13" ht="28.8" x14ac:dyDescent="0.3">
      <c r="A1" s="9" t="s">
        <v>21</v>
      </c>
      <c r="B1" s="9" t="s">
        <v>0</v>
      </c>
      <c r="C1" s="9" t="s">
        <v>1</v>
      </c>
      <c r="D1" s="9" t="s">
        <v>2</v>
      </c>
      <c r="E1" s="9" t="s">
        <v>3</v>
      </c>
      <c r="F1" s="9" t="s">
        <v>4</v>
      </c>
      <c r="G1" s="9" t="s">
        <v>5</v>
      </c>
      <c r="H1" s="9" t="s">
        <v>6</v>
      </c>
      <c r="I1" s="9" t="s">
        <v>7</v>
      </c>
      <c r="J1" s="9" t="s">
        <v>8</v>
      </c>
      <c r="K1" s="9" t="s">
        <v>9</v>
      </c>
      <c r="L1" s="9" t="s">
        <v>10</v>
      </c>
      <c r="M1" s="9" t="s">
        <v>11</v>
      </c>
    </row>
    <row r="2" spans="1:13" x14ac:dyDescent="0.3">
      <c r="A2" s="6">
        <v>1</v>
      </c>
      <c r="B2" s="6">
        <v>2015</v>
      </c>
      <c r="C2" s="6" t="s">
        <v>12</v>
      </c>
      <c r="D2" s="6">
        <v>13</v>
      </c>
      <c r="E2" s="6">
        <v>15</v>
      </c>
      <c r="F2" s="6">
        <v>0</v>
      </c>
      <c r="G2" s="6">
        <v>1</v>
      </c>
      <c r="H2" s="6">
        <v>86.67</v>
      </c>
      <c r="I2" s="6">
        <v>2</v>
      </c>
      <c r="J2" s="6">
        <v>0</v>
      </c>
      <c r="K2" s="6">
        <v>0</v>
      </c>
      <c r="L2" s="6" t="s">
        <v>20</v>
      </c>
      <c r="M2" s="6">
        <v>13</v>
      </c>
    </row>
    <row r="3" spans="1:13" x14ac:dyDescent="0.3">
      <c r="A3" s="6">
        <v>2</v>
      </c>
      <c r="B3" s="6">
        <v>2015</v>
      </c>
      <c r="C3" s="6" t="s">
        <v>53</v>
      </c>
      <c r="D3" s="6">
        <v>41</v>
      </c>
      <c r="E3" s="6">
        <v>37</v>
      </c>
      <c r="F3" s="6">
        <v>4</v>
      </c>
      <c r="G3" s="6">
        <v>2</v>
      </c>
      <c r="H3" s="6">
        <v>110.81</v>
      </c>
      <c r="I3" s="6">
        <v>5</v>
      </c>
      <c r="J3" s="6">
        <v>0</v>
      </c>
      <c r="K3" s="6">
        <v>0</v>
      </c>
      <c r="L3" s="6" t="s">
        <v>20</v>
      </c>
      <c r="M3" s="6">
        <v>27</v>
      </c>
    </row>
    <row r="4" spans="1:13" x14ac:dyDescent="0.3">
      <c r="A4" s="6">
        <v>3</v>
      </c>
      <c r="B4" s="6">
        <v>2015</v>
      </c>
      <c r="C4" s="6" t="s">
        <v>13</v>
      </c>
      <c r="D4" s="6">
        <v>18</v>
      </c>
      <c r="E4" s="6">
        <v>18</v>
      </c>
      <c r="F4" s="6">
        <v>1</v>
      </c>
      <c r="G4" s="6">
        <v>1</v>
      </c>
      <c r="H4" s="6">
        <v>100</v>
      </c>
      <c r="I4" s="6">
        <v>0</v>
      </c>
      <c r="J4" s="6">
        <v>0</v>
      </c>
      <c r="K4" s="6">
        <v>0</v>
      </c>
      <c r="L4" s="6" t="s">
        <v>20</v>
      </c>
      <c r="M4" s="6">
        <v>24</v>
      </c>
    </row>
    <row r="5" spans="1:13" x14ac:dyDescent="0.3">
      <c r="A5" s="6">
        <v>4</v>
      </c>
      <c r="B5" s="6">
        <v>2015</v>
      </c>
      <c r="C5" s="6" t="s">
        <v>15</v>
      </c>
      <c r="D5" s="6">
        <v>51</v>
      </c>
      <c r="E5" s="6">
        <v>42</v>
      </c>
      <c r="F5" s="6">
        <v>4</v>
      </c>
      <c r="G5" s="6">
        <v>2</v>
      </c>
      <c r="H5" s="6">
        <v>121.43</v>
      </c>
      <c r="I5" s="6">
        <v>12</v>
      </c>
      <c r="J5" s="6">
        <v>1</v>
      </c>
      <c r="K5" s="6">
        <v>0</v>
      </c>
      <c r="L5" s="6" t="s">
        <v>20</v>
      </c>
      <c r="M5" s="6">
        <v>30.75</v>
      </c>
    </row>
    <row r="6" spans="1:13" x14ac:dyDescent="0.3">
      <c r="A6" s="6">
        <v>5</v>
      </c>
      <c r="B6" s="6">
        <v>2015</v>
      </c>
      <c r="C6" s="6" t="s">
        <v>14</v>
      </c>
      <c r="D6" s="6">
        <v>62</v>
      </c>
      <c r="E6" s="6">
        <v>46</v>
      </c>
      <c r="F6" s="6">
        <v>1</v>
      </c>
      <c r="G6" s="6">
        <v>3</v>
      </c>
      <c r="H6" s="6">
        <v>134.78</v>
      </c>
      <c r="I6" s="6">
        <v>6</v>
      </c>
      <c r="J6" s="6">
        <v>1</v>
      </c>
      <c r="K6" s="6">
        <v>0</v>
      </c>
      <c r="L6" s="6" t="s">
        <v>33</v>
      </c>
      <c r="M6" s="6">
        <v>35</v>
      </c>
    </row>
    <row r="7" spans="1:13" x14ac:dyDescent="0.3">
      <c r="A7" s="6">
        <v>5</v>
      </c>
      <c r="B7" s="6">
        <v>2015</v>
      </c>
      <c r="C7" s="6" t="s">
        <v>16</v>
      </c>
      <c r="D7" s="6">
        <v>35</v>
      </c>
      <c r="E7" s="6">
        <v>23</v>
      </c>
      <c r="F7" s="6">
        <v>6</v>
      </c>
      <c r="G7" s="6">
        <v>0</v>
      </c>
      <c r="H7" s="6">
        <v>152.16999999999999</v>
      </c>
      <c r="I7" s="6">
        <v>5</v>
      </c>
      <c r="J7" s="6">
        <v>0</v>
      </c>
      <c r="K7" s="6">
        <v>0</v>
      </c>
      <c r="L7" s="6" t="s">
        <v>19</v>
      </c>
      <c r="M7" s="6">
        <v>39.5</v>
      </c>
    </row>
    <row r="8" spans="1:13" x14ac:dyDescent="0.3">
      <c r="A8" s="6">
        <v>6</v>
      </c>
      <c r="B8" s="6">
        <v>2015</v>
      </c>
      <c r="C8" s="6" t="s">
        <v>14</v>
      </c>
      <c r="D8" s="6">
        <v>1</v>
      </c>
      <c r="E8" s="6">
        <v>4</v>
      </c>
      <c r="F8" s="6">
        <v>0</v>
      </c>
      <c r="G8" s="6">
        <v>0</v>
      </c>
      <c r="H8" s="6">
        <v>25</v>
      </c>
      <c r="I8" s="6">
        <v>2</v>
      </c>
      <c r="J8" s="6">
        <v>0</v>
      </c>
      <c r="K8" s="6">
        <v>0</v>
      </c>
      <c r="L8" s="6" t="s">
        <v>20</v>
      </c>
      <c r="M8" s="6">
        <v>31.8</v>
      </c>
    </row>
    <row r="9" spans="1:13" x14ac:dyDescent="0.3">
      <c r="A9" s="6">
        <v>7</v>
      </c>
      <c r="B9" s="6">
        <v>2015</v>
      </c>
      <c r="C9" s="6" t="s">
        <v>12</v>
      </c>
      <c r="D9" s="6">
        <v>34</v>
      </c>
      <c r="E9" s="6">
        <v>20</v>
      </c>
      <c r="F9" s="6">
        <v>2</v>
      </c>
      <c r="G9" s="6">
        <v>3</v>
      </c>
      <c r="H9" s="6">
        <v>170</v>
      </c>
      <c r="I9" s="6">
        <v>7</v>
      </c>
      <c r="J9" s="6">
        <v>0</v>
      </c>
      <c r="K9" s="6">
        <v>0</v>
      </c>
      <c r="L9" s="6" t="s">
        <v>20</v>
      </c>
      <c r="M9" s="6">
        <v>32.17</v>
      </c>
    </row>
    <row r="10" spans="1:13" x14ac:dyDescent="0.3">
      <c r="A10" s="6">
        <v>8</v>
      </c>
      <c r="B10" s="6">
        <v>2015</v>
      </c>
      <c r="C10" s="6" t="s">
        <v>15</v>
      </c>
      <c r="D10" s="6">
        <v>48</v>
      </c>
      <c r="E10" s="6">
        <v>44</v>
      </c>
      <c r="F10" s="6">
        <v>2</v>
      </c>
      <c r="G10" s="6">
        <v>1</v>
      </c>
      <c r="H10" s="6">
        <v>109.09</v>
      </c>
      <c r="I10" s="6">
        <v>6</v>
      </c>
      <c r="J10" s="6">
        <v>0</v>
      </c>
      <c r="K10" s="6">
        <v>0</v>
      </c>
      <c r="L10" s="6" t="s">
        <v>20</v>
      </c>
      <c r="M10" s="6">
        <v>34.43</v>
      </c>
    </row>
    <row r="11" spans="1:13" x14ac:dyDescent="0.3">
      <c r="A11" s="6">
        <v>9</v>
      </c>
      <c r="B11" s="6">
        <v>2015</v>
      </c>
      <c r="C11" s="6" t="s">
        <v>18</v>
      </c>
      <c r="D11" s="6">
        <v>32</v>
      </c>
      <c r="E11" s="6">
        <v>30</v>
      </c>
      <c r="F11" s="6">
        <v>3</v>
      </c>
      <c r="G11" s="6">
        <v>1</v>
      </c>
      <c r="H11" s="6">
        <v>106.67</v>
      </c>
      <c r="I11" s="6">
        <v>12</v>
      </c>
      <c r="J11" s="6">
        <v>0</v>
      </c>
      <c r="K11" s="6">
        <v>0</v>
      </c>
      <c r="L11" s="6" t="s">
        <v>20</v>
      </c>
      <c r="M11" s="6">
        <v>34.130000000000003</v>
      </c>
    </row>
    <row r="12" spans="1:13" x14ac:dyDescent="0.3">
      <c r="A12" s="6">
        <v>10</v>
      </c>
      <c r="B12" s="6">
        <v>2015</v>
      </c>
      <c r="C12" s="6" t="s">
        <v>13</v>
      </c>
      <c r="D12" s="6">
        <v>82</v>
      </c>
      <c r="E12" s="6">
        <v>50</v>
      </c>
      <c r="F12" s="6">
        <v>6</v>
      </c>
      <c r="G12" s="6">
        <v>4</v>
      </c>
      <c r="H12" s="6">
        <v>164</v>
      </c>
      <c r="I12" s="6">
        <v>8</v>
      </c>
      <c r="J12" s="6">
        <v>1</v>
      </c>
      <c r="K12" s="6">
        <v>0</v>
      </c>
      <c r="L12" s="6" t="s">
        <v>19</v>
      </c>
      <c r="M12" s="6">
        <v>44.38</v>
      </c>
    </row>
    <row r="13" spans="1:13" x14ac:dyDescent="0.3">
      <c r="A13" s="6">
        <v>11</v>
      </c>
      <c r="B13" s="6">
        <v>2015</v>
      </c>
      <c r="C13" s="6" t="s">
        <v>18</v>
      </c>
      <c r="D13" s="6">
        <v>19</v>
      </c>
      <c r="E13" s="6">
        <v>9</v>
      </c>
      <c r="F13" s="6">
        <v>2</v>
      </c>
      <c r="G13" s="6">
        <v>1</v>
      </c>
      <c r="H13" s="6">
        <v>211.11</v>
      </c>
      <c r="I13" s="6">
        <v>1</v>
      </c>
      <c r="J13" s="6">
        <v>0</v>
      </c>
      <c r="K13" s="6">
        <v>0</v>
      </c>
      <c r="L13" s="6" t="s">
        <v>20</v>
      </c>
      <c r="M13" s="6">
        <v>41.56</v>
      </c>
    </row>
    <row r="14" spans="1:13" x14ac:dyDescent="0.3">
      <c r="A14" s="6">
        <v>12</v>
      </c>
      <c r="B14" s="6">
        <v>2015</v>
      </c>
      <c r="C14" s="6" t="s">
        <v>53</v>
      </c>
      <c r="D14" s="6">
        <v>44</v>
      </c>
      <c r="E14" s="6">
        <v>19</v>
      </c>
      <c r="F14" s="6">
        <v>3</v>
      </c>
      <c r="G14" s="6">
        <v>3</v>
      </c>
      <c r="H14" s="6">
        <v>231.58</v>
      </c>
      <c r="I14" s="6">
        <v>5</v>
      </c>
      <c r="J14" s="6">
        <v>0</v>
      </c>
      <c r="K14" s="6">
        <v>0</v>
      </c>
      <c r="L14" s="6" t="s">
        <v>19</v>
      </c>
      <c r="M14" s="6">
        <v>46.44</v>
      </c>
    </row>
    <row r="15" spans="1:13" x14ac:dyDescent="0.3">
      <c r="A15" s="6">
        <v>13</v>
      </c>
      <c r="B15" s="6">
        <v>2015</v>
      </c>
      <c r="C15" s="6" t="s">
        <v>16</v>
      </c>
      <c r="D15" s="6">
        <v>1</v>
      </c>
      <c r="E15" s="6">
        <v>2</v>
      </c>
      <c r="F15" s="6">
        <v>0</v>
      </c>
      <c r="G15" s="6">
        <v>0</v>
      </c>
      <c r="H15" s="6">
        <v>50</v>
      </c>
      <c r="I15" s="6">
        <v>0</v>
      </c>
      <c r="J15" s="6">
        <v>0</v>
      </c>
      <c r="K15" s="6">
        <v>0</v>
      </c>
      <c r="L15" s="6" t="s">
        <v>19</v>
      </c>
      <c r="M15" s="6">
        <v>46.555500000000002</v>
      </c>
    </row>
    <row r="16" spans="1:13" x14ac:dyDescent="0.3">
      <c r="A16" s="6">
        <v>14</v>
      </c>
      <c r="B16" s="6">
        <v>2015</v>
      </c>
      <c r="C16" s="6" t="s">
        <v>14</v>
      </c>
      <c r="D16" s="6">
        <v>12</v>
      </c>
      <c r="E16" s="6">
        <v>18</v>
      </c>
      <c r="F16" s="6">
        <v>0</v>
      </c>
      <c r="G16" s="6">
        <v>0</v>
      </c>
      <c r="H16" s="6">
        <v>66.67</v>
      </c>
      <c r="I16" s="6">
        <v>6</v>
      </c>
      <c r="J16" s="6">
        <v>0</v>
      </c>
      <c r="K16" s="6">
        <v>0</v>
      </c>
      <c r="L16" s="6" t="s">
        <v>33</v>
      </c>
      <c r="M16" s="6">
        <v>43.1</v>
      </c>
    </row>
    <row r="17" spans="1:13" x14ac:dyDescent="0.3">
      <c r="A17" s="6">
        <v>15</v>
      </c>
      <c r="B17" s="6">
        <v>2015</v>
      </c>
      <c r="C17" s="6" t="s">
        <v>15</v>
      </c>
      <c r="D17" s="6">
        <v>12</v>
      </c>
      <c r="E17" s="6">
        <v>9</v>
      </c>
      <c r="F17" s="6">
        <v>1</v>
      </c>
      <c r="G17" s="6">
        <v>1</v>
      </c>
      <c r="H17" s="6">
        <v>133.33000000000001</v>
      </c>
      <c r="I17" s="6">
        <v>6</v>
      </c>
      <c r="J17" s="6">
        <v>0</v>
      </c>
      <c r="K17" s="6">
        <v>0</v>
      </c>
      <c r="L17" s="6" t="s">
        <v>33</v>
      </c>
      <c r="M17" s="1">
        <v>38</v>
      </c>
    </row>
    <row r="20" spans="1:13" ht="18.600000000000001" customHeight="1" x14ac:dyDescent="0.3">
      <c r="C20" s="17" t="s">
        <v>85</v>
      </c>
      <c r="D20" s="19">
        <f>SUM(D2:D17)/SUM(E2:E17)*100</f>
        <v>130.82901554404145</v>
      </c>
      <c r="L20" s="17" t="s">
        <v>88</v>
      </c>
      <c r="M20">
        <f>M17</f>
        <v>38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38BD-B6F0-4D32-ABD0-A32E8B2D9203}">
  <dimension ref="A1:M21"/>
  <sheetViews>
    <sheetView workbookViewId="0">
      <selection activeCell="M22" sqref="M22"/>
    </sheetView>
  </sheetViews>
  <sheetFormatPr defaultRowHeight="14.4" x14ac:dyDescent="0.3"/>
  <cols>
    <col min="2" max="2" width="11.5546875" customWidth="1"/>
    <col min="3" max="3" width="10.21875" customWidth="1"/>
    <col min="8" max="8" width="12.109375" customWidth="1"/>
    <col min="12" max="12" width="10.33203125" customWidth="1"/>
    <col min="13" max="13" width="9.5546875" customWidth="1"/>
  </cols>
  <sheetData>
    <row r="1" spans="1:13" ht="28.8" x14ac:dyDescent="0.3">
      <c r="A1" s="9" t="s">
        <v>21</v>
      </c>
      <c r="B1" s="9" t="s">
        <v>0</v>
      </c>
      <c r="C1" s="9" t="s">
        <v>1</v>
      </c>
      <c r="D1" s="9" t="s">
        <v>2</v>
      </c>
      <c r="E1" s="9" t="s">
        <v>3</v>
      </c>
      <c r="F1" s="9" t="s">
        <v>4</v>
      </c>
      <c r="G1" s="9" t="s">
        <v>5</v>
      </c>
      <c r="H1" s="9" t="s">
        <v>64</v>
      </c>
      <c r="I1" s="9" t="s">
        <v>7</v>
      </c>
      <c r="J1" s="9" t="s">
        <v>8</v>
      </c>
      <c r="K1" s="9" t="s">
        <v>9</v>
      </c>
      <c r="L1" s="9" t="s">
        <v>65</v>
      </c>
      <c r="M1" s="9" t="s">
        <v>11</v>
      </c>
    </row>
    <row r="2" spans="1:13" x14ac:dyDescent="0.3">
      <c r="A2" s="6">
        <v>1</v>
      </c>
      <c r="B2" s="6">
        <v>2016</v>
      </c>
      <c r="C2" s="6" t="s">
        <v>53</v>
      </c>
      <c r="D2" s="6">
        <v>75</v>
      </c>
      <c r="E2" s="6">
        <v>51</v>
      </c>
      <c r="F2" s="6">
        <v>7</v>
      </c>
      <c r="G2" s="6">
        <v>3</v>
      </c>
      <c r="H2" s="6">
        <v>147.06</v>
      </c>
      <c r="I2" s="6">
        <v>17</v>
      </c>
      <c r="J2" s="6">
        <v>1</v>
      </c>
      <c r="K2" s="6">
        <v>0</v>
      </c>
      <c r="L2" s="6" t="s">
        <v>20</v>
      </c>
      <c r="M2" s="6">
        <v>75</v>
      </c>
    </row>
    <row r="3" spans="1:13" x14ac:dyDescent="0.3">
      <c r="A3" s="6">
        <v>2</v>
      </c>
      <c r="B3" s="6">
        <v>2016</v>
      </c>
      <c r="C3" s="6" t="s">
        <v>16</v>
      </c>
      <c r="D3" s="6">
        <v>79</v>
      </c>
      <c r="E3" s="6">
        <v>48</v>
      </c>
      <c r="F3" s="6">
        <v>7</v>
      </c>
      <c r="G3" s="6">
        <v>3</v>
      </c>
      <c r="H3" s="6">
        <v>164.58</v>
      </c>
      <c r="I3" s="6">
        <v>8</v>
      </c>
      <c r="J3" s="6">
        <v>1</v>
      </c>
      <c r="K3" s="6">
        <v>0</v>
      </c>
      <c r="L3" s="6" t="s">
        <v>20</v>
      </c>
      <c r="M3" s="6">
        <v>77</v>
      </c>
    </row>
    <row r="4" spans="1:13" x14ac:dyDescent="0.3">
      <c r="A4" s="6">
        <v>3</v>
      </c>
      <c r="B4" s="6">
        <v>2016</v>
      </c>
      <c r="C4" s="6" t="s">
        <v>13</v>
      </c>
      <c r="D4" s="6">
        <v>33</v>
      </c>
      <c r="E4" s="6">
        <v>30</v>
      </c>
      <c r="F4" s="6">
        <v>3</v>
      </c>
      <c r="G4" s="6">
        <v>0</v>
      </c>
      <c r="H4" s="6">
        <v>110</v>
      </c>
      <c r="I4" s="6">
        <v>9</v>
      </c>
      <c r="J4" s="6">
        <v>0</v>
      </c>
      <c r="K4" s="6">
        <v>0</v>
      </c>
      <c r="L4" s="6" t="s">
        <v>20</v>
      </c>
      <c r="M4" s="6">
        <v>62.33</v>
      </c>
    </row>
    <row r="5" spans="1:13" x14ac:dyDescent="0.3">
      <c r="A5" s="6">
        <v>4</v>
      </c>
      <c r="B5" s="6">
        <v>2016</v>
      </c>
      <c r="C5" s="6" t="s">
        <v>66</v>
      </c>
      <c r="D5" s="6">
        <v>80</v>
      </c>
      <c r="E5" s="6">
        <v>63</v>
      </c>
      <c r="F5" s="6">
        <v>7</v>
      </c>
      <c r="G5" s="6">
        <v>2</v>
      </c>
      <c r="H5" s="6">
        <v>126.98</v>
      </c>
      <c r="I5" s="6">
        <v>17</v>
      </c>
      <c r="J5" s="6">
        <v>1</v>
      </c>
      <c r="K5" s="6">
        <v>0</v>
      </c>
      <c r="L5" s="6" t="s">
        <v>20</v>
      </c>
      <c r="M5" s="6">
        <v>66.75</v>
      </c>
    </row>
    <row r="6" spans="1:13" x14ac:dyDescent="0.3">
      <c r="A6" s="6">
        <v>5</v>
      </c>
      <c r="B6" s="6">
        <v>2016</v>
      </c>
      <c r="C6" s="6" t="s">
        <v>67</v>
      </c>
      <c r="D6" s="6">
        <v>100</v>
      </c>
      <c r="E6" s="6">
        <v>63</v>
      </c>
      <c r="F6" s="6">
        <v>11</v>
      </c>
      <c r="G6" s="6">
        <v>1</v>
      </c>
      <c r="H6" s="6">
        <v>158.72999999999999</v>
      </c>
      <c r="I6" s="6">
        <v>11</v>
      </c>
      <c r="J6" s="6">
        <v>0</v>
      </c>
      <c r="K6" s="6">
        <v>1</v>
      </c>
      <c r="L6" s="6" t="s">
        <v>19</v>
      </c>
      <c r="M6" s="6">
        <v>91.75</v>
      </c>
    </row>
    <row r="7" spans="1:13" x14ac:dyDescent="0.3">
      <c r="A7" s="6">
        <v>6</v>
      </c>
      <c r="B7" s="6">
        <v>2016</v>
      </c>
      <c r="C7" s="6" t="s">
        <v>53</v>
      </c>
      <c r="D7" s="6">
        <v>14</v>
      </c>
      <c r="E7" s="6">
        <v>17</v>
      </c>
      <c r="F7" s="6">
        <v>1</v>
      </c>
      <c r="G7" s="6">
        <v>0</v>
      </c>
      <c r="H7" s="6">
        <v>82.35</v>
      </c>
      <c r="I7" s="6">
        <v>6</v>
      </c>
      <c r="J7" s="6">
        <v>0</v>
      </c>
      <c r="K7" s="6">
        <v>0</v>
      </c>
      <c r="L7" s="6" t="s">
        <v>20</v>
      </c>
      <c r="M7" s="6">
        <v>76.2</v>
      </c>
    </row>
    <row r="8" spans="1:13" x14ac:dyDescent="0.3">
      <c r="A8" s="6">
        <v>7</v>
      </c>
      <c r="B8" s="6">
        <v>2016</v>
      </c>
      <c r="C8" s="6" t="s">
        <v>12</v>
      </c>
      <c r="D8" s="6">
        <v>52</v>
      </c>
      <c r="E8" s="6">
        <v>44</v>
      </c>
      <c r="F8" s="6">
        <v>4</v>
      </c>
      <c r="G8" s="6">
        <v>0</v>
      </c>
      <c r="H8" s="6">
        <v>118.18</v>
      </c>
      <c r="I8" s="6">
        <v>10</v>
      </c>
      <c r="J8" s="6">
        <v>1</v>
      </c>
      <c r="K8" s="6">
        <v>0</v>
      </c>
      <c r="L8" s="6" t="s">
        <v>20</v>
      </c>
      <c r="M8" s="6">
        <v>72.17</v>
      </c>
    </row>
    <row r="9" spans="1:13" x14ac:dyDescent="0.3">
      <c r="A9" s="6">
        <v>8</v>
      </c>
      <c r="B9" s="6">
        <v>2016</v>
      </c>
      <c r="C9" s="6" t="s">
        <v>66</v>
      </c>
      <c r="D9" s="6">
        <v>108</v>
      </c>
      <c r="E9" s="6">
        <v>58</v>
      </c>
      <c r="F9" s="6">
        <v>8</v>
      </c>
      <c r="G9" s="6">
        <v>7</v>
      </c>
      <c r="H9" s="6">
        <v>186.21</v>
      </c>
      <c r="I9" s="6">
        <v>13</v>
      </c>
      <c r="J9" s="6">
        <v>0</v>
      </c>
      <c r="K9" s="6">
        <v>1</v>
      </c>
      <c r="L9" s="6" t="s">
        <v>19</v>
      </c>
      <c r="M9" s="6">
        <v>90.17</v>
      </c>
    </row>
    <row r="10" spans="1:13" x14ac:dyDescent="0.3">
      <c r="A10" s="6">
        <v>9</v>
      </c>
      <c r="B10" s="6">
        <v>2016</v>
      </c>
      <c r="C10" s="6" t="s">
        <v>18</v>
      </c>
      <c r="D10" s="6">
        <v>20</v>
      </c>
      <c r="E10" s="6">
        <v>21</v>
      </c>
      <c r="F10" s="6">
        <v>2</v>
      </c>
      <c r="G10" s="6">
        <v>0</v>
      </c>
      <c r="H10" s="6">
        <v>95.24</v>
      </c>
      <c r="I10" s="6">
        <v>9</v>
      </c>
      <c r="J10" s="6">
        <v>0</v>
      </c>
      <c r="K10" s="6">
        <v>0</v>
      </c>
      <c r="L10" s="6" t="s">
        <v>20</v>
      </c>
      <c r="M10" s="6">
        <v>80.14</v>
      </c>
    </row>
    <row r="11" spans="1:13" x14ac:dyDescent="0.3">
      <c r="A11" s="6">
        <v>10</v>
      </c>
      <c r="B11" s="6">
        <v>2016</v>
      </c>
      <c r="C11" s="6" t="s">
        <v>13</v>
      </c>
      <c r="D11" s="6">
        <v>7</v>
      </c>
      <c r="E11" s="6">
        <v>7</v>
      </c>
      <c r="F11" s="6">
        <v>0</v>
      </c>
      <c r="G11" s="6">
        <v>1</v>
      </c>
      <c r="H11" s="6">
        <v>100</v>
      </c>
      <c r="I11" s="6">
        <v>5</v>
      </c>
      <c r="J11" s="6">
        <v>0</v>
      </c>
      <c r="K11" s="6">
        <v>0</v>
      </c>
      <c r="L11" s="6" t="s">
        <v>20</v>
      </c>
      <c r="M11" s="6">
        <v>71</v>
      </c>
    </row>
    <row r="12" spans="1:13" x14ac:dyDescent="0.3">
      <c r="A12" s="6">
        <v>11</v>
      </c>
      <c r="B12" s="6">
        <v>2016</v>
      </c>
      <c r="C12" s="6" t="s">
        <v>67</v>
      </c>
      <c r="D12" s="6">
        <v>109</v>
      </c>
      <c r="E12" s="6">
        <v>55</v>
      </c>
      <c r="F12" s="6">
        <v>6</v>
      </c>
      <c r="G12" s="6">
        <v>8</v>
      </c>
      <c r="H12" s="6">
        <v>198.18</v>
      </c>
      <c r="I12" s="6">
        <v>11</v>
      </c>
      <c r="J12" s="6">
        <v>0</v>
      </c>
      <c r="K12" s="6">
        <v>1</v>
      </c>
      <c r="L12" s="6" t="s">
        <v>20</v>
      </c>
      <c r="M12" s="6">
        <v>75.22</v>
      </c>
    </row>
    <row r="13" spans="1:13" x14ac:dyDescent="0.3">
      <c r="A13" s="6">
        <v>12</v>
      </c>
      <c r="B13" s="6">
        <v>2016</v>
      </c>
      <c r="C13" s="6" t="s">
        <v>12</v>
      </c>
      <c r="D13" s="6">
        <v>75</v>
      </c>
      <c r="E13" s="6">
        <v>51</v>
      </c>
      <c r="F13" s="6">
        <v>5</v>
      </c>
      <c r="G13" s="6">
        <v>3</v>
      </c>
      <c r="H13" s="6">
        <v>147.06</v>
      </c>
      <c r="I13" s="6">
        <v>13</v>
      </c>
      <c r="J13" s="6">
        <v>1</v>
      </c>
      <c r="K13" s="6">
        <v>0</v>
      </c>
      <c r="L13" s="6" t="s">
        <v>19</v>
      </c>
      <c r="M13" s="6">
        <v>83.56</v>
      </c>
    </row>
    <row r="14" spans="1:13" x14ac:dyDescent="0.3">
      <c r="A14" s="6">
        <v>13</v>
      </c>
      <c r="B14" s="6">
        <v>2016</v>
      </c>
      <c r="C14" s="6" t="s">
        <v>18</v>
      </c>
      <c r="D14" s="6">
        <v>113</v>
      </c>
      <c r="E14" s="6">
        <v>50</v>
      </c>
      <c r="F14" s="6">
        <v>12</v>
      </c>
      <c r="G14" s="6">
        <v>8</v>
      </c>
      <c r="H14" s="6">
        <v>226</v>
      </c>
      <c r="I14" s="6">
        <v>15</v>
      </c>
      <c r="J14" s="6">
        <v>0</v>
      </c>
      <c r="K14" s="6">
        <v>1</v>
      </c>
      <c r="L14" s="6" t="s">
        <v>20</v>
      </c>
      <c r="M14" s="6">
        <v>86.5</v>
      </c>
    </row>
    <row r="15" spans="1:13" x14ac:dyDescent="0.3">
      <c r="A15" s="6">
        <v>14</v>
      </c>
      <c r="B15" s="6">
        <v>2016</v>
      </c>
      <c r="C15" s="6" t="s">
        <v>16</v>
      </c>
      <c r="D15" s="6">
        <v>54</v>
      </c>
      <c r="E15" s="6">
        <v>45</v>
      </c>
      <c r="F15" s="6">
        <v>6</v>
      </c>
      <c r="G15" s="6">
        <v>0</v>
      </c>
      <c r="H15" s="6">
        <v>120</v>
      </c>
      <c r="I15" s="6">
        <v>12</v>
      </c>
      <c r="J15" s="6">
        <v>1</v>
      </c>
      <c r="K15" s="6">
        <v>0</v>
      </c>
      <c r="L15" s="6" t="s">
        <v>19</v>
      </c>
      <c r="M15" s="6">
        <v>91.9</v>
      </c>
    </row>
    <row r="16" spans="1:13" x14ac:dyDescent="0.3">
      <c r="A16" s="6">
        <v>15</v>
      </c>
      <c r="B16" s="6">
        <v>2016</v>
      </c>
      <c r="C16" s="6" t="s">
        <v>67</v>
      </c>
      <c r="D16" s="6">
        <v>0</v>
      </c>
      <c r="E16" s="6">
        <v>2</v>
      </c>
      <c r="F16" s="6">
        <v>0</v>
      </c>
      <c r="G16" s="6">
        <v>0</v>
      </c>
      <c r="H16" s="6">
        <v>0</v>
      </c>
      <c r="I16" s="6">
        <v>2</v>
      </c>
      <c r="J16" s="6">
        <v>0</v>
      </c>
      <c r="K16" s="6">
        <v>0</v>
      </c>
      <c r="L16" s="6" t="s">
        <v>20</v>
      </c>
      <c r="M16" s="6">
        <v>83.55</v>
      </c>
    </row>
    <row r="17" spans="1:13" x14ac:dyDescent="0.3">
      <c r="A17" s="6">
        <v>16</v>
      </c>
      <c r="B17" s="6">
        <v>2016</v>
      </c>
      <c r="C17" s="6" t="s">
        <v>53</v>
      </c>
      <c r="D17" s="6">
        <v>54</v>
      </c>
      <c r="E17" s="6">
        <v>35</v>
      </c>
      <c r="F17" s="6">
        <v>5</v>
      </c>
      <c r="G17" s="6">
        <v>2</v>
      </c>
      <c r="H17" s="6">
        <v>154.29</v>
      </c>
      <c r="I17" s="6">
        <v>11</v>
      </c>
      <c r="J17" s="6">
        <v>1</v>
      </c>
      <c r="K17" s="6">
        <v>0</v>
      </c>
      <c r="L17" s="6" t="s">
        <v>20</v>
      </c>
      <c r="M17" s="6">
        <v>81.08</v>
      </c>
    </row>
    <row r="21" spans="1:13" x14ac:dyDescent="0.3">
      <c r="C21" t="s">
        <v>85</v>
      </c>
      <c r="D21" s="19">
        <f>SUM(D2:D17)/SUM(E2:E17)*100</f>
        <v>152.03125</v>
      </c>
      <c r="L21" t="s">
        <v>88</v>
      </c>
      <c r="M21">
        <f>M17</f>
        <v>81.08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8267-B810-4FE0-BD57-95C7F9FFCBF5}">
  <dimension ref="A1:M15"/>
  <sheetViews>
    <sheetView workbookViewId="0">
      <selection activeCell="M16" sqref="M16"/>
    </sheetView>
  </sheetViews>
  <sheetFormatPr defaultRowHeight="14.4" x14ac:dyDescent="0.3"/>
  <cols>
    <col min="2" max="2" width="10.44140625" customWidth="1"/>
    <col min="3" max="3" width="11" customWidth="1"/>
  </cols>
  <sheetData>
    <row r="1" spans="1:13" ht="28.8" x14ac:dyDescent="0.3">
      <c r="A1" s="9" t="s">
        <v>54</v>
      </c>
      <c r="B1" s="9" t="s">
        <v>0</v>
      </c>
      <c r="C1" s="9" t="s">
        <v>1</v>
      </c>
      <c r="D1" s="9" t="s">
        <v>2</v>
      </c>
      <c r="E1" s="9" t="s">
        <v>3</v>
      </c>
      <c r="F1" s="9" t="s">
        <v>4</v>
      </c>
      <c r="G1" s="9" t="s">
        <v>5</v>
      </c>
      <c r="H1" s="9" t="s">
        <v>6</v>
      </c>
      <c r="I1" s="9" t="s">
        <v>7</v>
      </c>
      <c r="J1" s="9" t="s">
        <v>8</v>
      </c>
      <c r="K1" s="9" t="s">
        <v>9</v>
      </c>
      <c r="L1" s="9" t="s">
        <v>10</v>
      </c>
      <c r="M1" s="9" t="s">
        <v>11</v>
      </c>
    </row>
    <row r="2" spans="1:13" x14ac:dyDescent="0.3">
      <c r="A2" s="11">
        <v>1</v>
      </c>
      <c r="B2" s="11">
        <v>2017</v>
      </c>
      <c r="C2" s="11" t="s">
        <v>13</v>
      </c>
      <c r="D2" s="11">
        <v>62</v>
      </c>
      <c r="E2" s="11">
        <v>47</v>
      </c>
      <c r="F2" s="11">
        <v>5</v>
      </c>
      <c r="G2" s="11">
        <v>2</v>
      </c>
      <c r="H2" s="11">
        <v>131.91</v>
      </c>
      <c r="I2" s="11">
        <v>14</v>
      </c>
      <c r="J2" s="11">
        <v>1</v>
      </c>
      <c r="K2" s="11">
        <v>0</v>
      </c>
      <c r="L2" s="11" t="s">
        <v>20</v>
      </c>
      <c r="M2" s="11">
        <v>62</v>
      </c>
    </row>
    <row r="3" spans="1:13" x14ac:dyDescent="0.3">
      <c r="A3" s="11">
        <v>2</v>
      </c>
      <c r="B3" s="11">
        <v>2017</v>
      </c>
      <c r="C3" s="11" t="s">
        <v>66</v>
      </c>
      <c r="D3" s="11">
        <v>28</v>
      </c>
      <c r="E3" s="11">
        <v>19</v>
      </c>
      <c r="F3" s="11">
        <v>3</v>
      </c>
      <c r="G3" s="11">
        <v>1</v>
      </c>
      <c r="H3" s="11">
        <v>147.37</v>
      </c>
      <c r="I3" s="11">
        <v>6</v>
      </c>
      <c r="J3" s="11">
        <v>0</v>
      </c>
      <c r="K3" s="11">
        <v>0</v>
      </c>
      <c r="L3" s="11" t="s">
        <v>20</v>
      </c>
      <c r="M3" s="11">
        <v>45</v>
      </c>
    </row>
    <row r="4" spans="1:13" x14ac:dyDescent="0.3">
      <c r="A4" s="11">
        <v>3</v>
      </c>
      <c r="B4" s="11">
        <v>2017</v>
      </c>
      <c r="C4" s="11" t="s">
        <v>67</v>
      </c>
      <c r="D4" s="11">
        <v>64</v>
      </c>
      <c r="E4" s="11">
        <v>50</v>
      </c>
      <c r="F4" s="11">
        <v>7</v>
      </c>
      <c r="G4" s="11">
        <v>1</v>
      </c>
      <c r="H4" s="11">
        <v>128</v>
      </c>
      <c r="I4" s="11">
        <v>16</v>
      </c>
      <c r="J4" s="11">
        <v>1</v>
      </c>
      <c r="K4" s="11">
        <v>0</v>
      </c>
      <c r="L4" s="11" t="s">
        <v>20</v>
      </c>
      <c r="M4" s="11">
        <v>51.33</v>
      </c>
    </row>
    <row r="5" spans="1:13" x14ac:dyDescent="0.3">
      <c r="A5" s="11">
        <v>4</v>
      </c>
      <c r="B5" s="11">
        <v>2017</v>
      </c>
      <c r="C5" s="11" t="s">
        <v>12</v>
      </c>
      <c r="D5" s="11">
        <v>0</v>
      </c>
      <c r="E5" s="11">
        <v>1</v>
      </c>
      <c r="F5" s="11">
        <v>0</v>
      </c>
      <c r="G5" s="11">
        <v>0</v>
      </c>
      <c r="H5" s="11">
        <v>0</v>
      </c>
      <c r="I5" s="11">
        <v>0</v>
      </c>
      <c r="J5" s="11">
        <v>0</v>
      </c>
      <c r="K5" s="11">
        <v>0</v>
      </c>
      <c r="L5" s="11" t="s">
        <v>20</v>
      </c>
      <c r="M5" s="11">
        <v>38.5</v>
      </c>
    </row>
    <row r="6" spans="1:13" x14ac:dyDescent="0.3">
      <c r="A6" s="11">
        <v>5</v>
      </c>
      <c r="B6" s="11">
        <v>2017</v>
      </c>
      <c r="C6" s="11" t="s">
        <v>67</v>
      </c>
      <c r="D6" s="11">
        <v>10</v>
      </c>
      <c r="E6" s="11">
        <v>13</v>
      </c>
      <c r="F6" s="11">
        <v>0</v>
      </c>
      <c r="G6" s="11">
        <v>1</v>
      </c>
      <c r="H6" s="11">
        <v>76.92</v>
      </c>
      <c r="I6" s="11">
        <v>8</v>
      </c>
      <c r="J6" s="11">
        <v>0</v>
      </c>
      <c r="K6" s="11">
        <v>0</v>
      </c>
      <c r="L6" s="11" t="s">
        <v>20</v>
      </c>
      <c r="M6" s="11">
        <v>32.799999999999997</v>
      </c>
    </row>
    <row r="7" spans="1:13" x14ac:dyDescent="0.3">
      <c r="A7" s="11">
        <v>6</v>
      </c>
      <c r="B7" s="11">
        <v>2017</v>
      </c>
      <c r="C7" s="11" t="s">
        <v>66</v>
      </c>
      <c r="D7" s="11">
        <v>55</v>
      </c>
      <c r="E7" s="11">
        <v>48</v>
      </c>
      <c r="F7" s="11">
        <v>4</v>
      </c>
      <c r="G7" s="11">
        <v>1</v>
      </c>
      <c r="H7" s="11">
        <v>114.58</v>
      </c>
      <c r="I7" s="11">
        <v>7</v>
      </c>
      <c r="J7" s="11">
        <v>1</v>
      </c>
      <c r="K7" s="11">
        <v>0</v>
      </c>
      <c r="L7" s="11" t="s">
        <v>20</v>
      </c>
      <c r="M7" s="11">
        <v>36.5</v>
      </c>
    </row>
    <row r="8" spans="1:13" x14ac:dyDescent="0.3">
      <c r="A8" s="11">
        <v>7</v>
      </c>
      <c r="B8" s="11">
        <v>2017</v>
      </c>
      <c r="C8" s="11" t="s">
        <v>13</v>
      </c>
      <c r="D8" s="11">
        <v>20</v>
      </c>
      <c r="E8" s="11">
        <v>14</v>
      </c>
      <c r="F8" s="11">
        <v>0</v>
      </c>
      <c r="G8" s="11">
        <v>2</v>
      </c>
      <c r="H8" s="11">
        <v>142.86000000000001</v>
      </c>
      <c r="I8" s="11">
        <v>5</v>
      </c>
      <c r="J8" s="11">
        <v>0</v>
      </c>
      <c r="K8" s="11">
        <v>0</v>
      </c>
      <c r="L8" s="11" t="s">
        <v>20</v>
      </c>
      <c r="M8" s="11">
        <v>34.14</v>
      </c>
    </row>
    <row r="9" spans="1:13" x14ac:dyDescent="0.3">
      <c r="A9" s="11">
        <v>8</v>
      </c>
      <c r="B9" s="11">
        <v>2017</v>
      </c>
      <c r="C9" s="11" t="s">
        <v>18</v>
      </c>
      <c r="D9" s="11">
        <v>6</v>
      </c>
      <c r="E9" s="11">
        <v>6</v>
      </c>
      <c r="F9" s="11">
        <v>1</v>
      </c>
      <c r="G9" s="11">
        <v>0</v>
      </c>
      <c r="H9" s="11">
        <v>100</v>
      </c>
      <c r="I9" s="11">
        <v>2</v>
      </c>
      <c r="J9" s="11">
        <v>0</v>
      </c>
      <c r="K9" s="11">
        <v>0</v>
      </c>
      <c r="L9" s="11" t="s">
        <v>20</v>
      </c>
      <c r="M9" s="11">
        <v>30.63</v>
      </c>
    </row>
    <row r="10" spans="1:13" x14ac:dyDescent="0.3">
      <c r="A10" s="11">
        <v>9</v>
      </c>
      <c r="B10" s="11">
        <v>2017</v>
      </c>
      <c r="C10" s="11" t="s">
        <v>12</v>
      </c>
      <c r="D10" s="11">
        <v>5</v>
      </c>
      <c r="E10" s="11">
        <v>9</v>
      </c>
      <c r="F10" s="11">
        <v>0</v>
      </c>
      <c r="G10" s="11">
        <v>0</v>
      </c>
      <c r="H10" s="11">
        <v>55.56</v>
      </c>
      <c r="I10" s="11">
        <v>4</v>
      </c>
      <c r="J10" s="11">
        <v>0</v>
      </c>
      <c r="K10" s="11">
        <v>0</v>
      </c>
      <c r="L10" s="11" t="s">
        <v>20</v>
      </c>
      <c r="M10" s="11">
        <v>27.78</v>
      </c>
    </row>
    <row r="11" spans="1:13" x14ac:dyDescent="0.3">
      <c r="A11" s="11">
        <v>10</v>
      </c>
      <c r="B11" s="11">
        <v>2017</v>
      </c>
      <c r="C11" s="11" t="s">
        <v>16</v>
      </c>
      <c r="D11" s="11">
        <v>58</v>
      </c>
      <c r="E11" s="11">
        <v>45</v>
      </c>
      <c r="F11" s="11">
        <v>3</v>
      </c>
      <c r="G11" s="11">
        <v>3</v>
      </c>
      <c r="H11" s="11">
        <v>128.88999999999999</v>
      </c>
      <c r="I11" s="11">
        <v>7</v>
      </c>
      <c r="J11" s="11">
        <v>1</v>
      </c>
      <c r="K11" s="11">
        <v>0</v>
      </c>
      <c r="L11" s="11" t="s">
        <v>20</v>
      </c>
      <c r="M11" s="11">
        <v>30.8</v>
      </c>
    </row>
    <row r="15" spans="1:13" x14ac:dyDescent="0.3">
      <c r="C15" t="s">
        <v>85</v>
      </c>
      <c r="D15" s="19">
        <f>SUM(D2:D11)/SUM(E2:E11)*100</f>
        <v>122.22222222222223</v>
      </c>
      <c r="L15" t="s">
        <v>88</v>
      </c>
      <c r="M15">
        <f>M11</f>
        <v>30.8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5CF6-0C22-41D8-AFA4-210F659A548B}">
  <dimension ref="A1:M18"/>
  <sheetViews>
    <sheetView workbookViewId="0">
      <selection activeCell="M19" sqref="M19"/>
    </sheetView>
  </sheetViews>
  <sheetFormatPr defaultRowHeight="14.4" x14ac:dyDescent="0.3"/>
  <cols>
    <col min="2" max="2" width="10.5546875" customWidth="1"/>
    <col min="3" max="3" width="10.88671875" customWidth="1"/>
    <col min="13" max="13" width="9.77734375" customWidth="1"/>
  </cols>
  <sheetData>
    <row r="1" spans="1:13" ht="28.8" x14ac:dyDescent="0.3">
      <c r="A1" s="9" t="s">
        <v>21</v>
      </c>
      <c r="B1" s="9" t="s">
        <v>0</v>
      </c>
      <c r="C1" s="9" t="s">
        <v>1</v>
      </c>
      <c r="D1" s="9" t="s">
        <v>2</v>
      </c>
      <c r="E1" s="9" t="s">
        <v>3</v>
      </c>
      <c r="F1" s="9" t="s">
        <v>4</v>
      </c>
      <c r="G1" s="9" t="s">
        <v>5</v>
      </c>
      <c r="H1" s="9" t="s">
        <v>6</v>
      </c>
      <c r="I1" s="9" t="s">
        <v>7</v>
      </c>
      <c r="J1" s="9" t="s">
        <v>8</v>
      </c>
      <c r="K1" s="9" t="s">
        <v>9</v>
      </c>
      <c r="L1" s="9" t="s">
        <v>10</v>
      </c>
      <c r="M1" s="9" t="s">
        <v>11</v>
      </c>
    </row>
    <row r="2" spans="1:13" x14ac:dyDescent="0.3">
      <c r="A2" s="6">
        <v>1</v>
      </c>
      <c r="B2" s="6">
        <v>2018</v>
      </c>
      <c r="C2" s="6" t="s">
        <v>12</v>
      </c>
      <c r="D2" s="6">
        <v>31</v>
      </c>
      <c r="E2" s="6">
        <v>33</v>
      </c>
      <c r="F2" s="6">
        <v>1</v>
      </c>
      <c r="G2" s="6">
        <v>1</v>
      </c>
      <c r="H2" s="6">
        <v>93.94</v>
      </c>
      <c r="I2" s="6">
        <v>10</v>
      </c>
      <c r="J2" s="6">
        <v>0</v>
      </c>
      <c r="K2" s="6">
        <v>0</v>
      </c>
      <c r="L2" s="6" t="s">
        <v>20</v>
      </c>
      <c r="M2" s="6">
        <v>31</v>
      </c>
    </row>
    <row r="3" spans="1:13" x14ac:dyDescent="0.3">
      <c r="A3" s="6">
        <v>2</v>
      </c>
      <c r="B3" s="6">
        <v>2018</v>
      </c>
      <c r="C3" s="6" t="s">
        <v>68</v>
      </c>
      <c r="D3" s="6">
        <v>21</v>
      </c>
      <c r="E3" s="6">
        <v>16</v>
      </c>
      <c r="F3" s="6">
        <v>4</v>
      </c>
      <c r="G3" s="6">
        <v>0</v>
      </c>
      <c r="H3" s="6">
        <v>131.25</v>
      </c>
      <c r="I3" s="6">
        <v>7</v>
      </c>
      <c r="J3" s="6">
        <v>0</v>
      </c>
      <c r="K3" s="6">
        <v>0</v>
      </c>
      <c r="L3" s="6" t="s">
        <v>20</v>
      </c>
      <c r="M3" s="6">
        <v>26</v>
      </c>
    </row>
    <row r="4" spans="1:13" x14ac:dyDescent="0.3">
      <c r="A4" s="6">
        <v>3</v>
      </c>
      <c r="B4" s="6">
        <v>2018</v>
      </c>
      <c r="C4" s="6" t="s">
        <v>14</v>
      </c>
      <c r="D4" s="6">
        <v>57</v>
      </c>
      <c r="E4" s="6">
        <v>30</v>
      </c>
      <c r="F4" s="6">
        <v>6</v>
      </c>
      <c r="G4" s="6">
        <v>2</v>
      </c>
      <c r="H4" s="6">
        <v>190</v>
      </c>
      <c r="I4" s="6">
        <v>1</v>
      </c>
      <c r="J4" s="6">
        <v>1</v>
      </c>
      <c r="K4" s="6">
        <v>0</v>
      </c>
      <c r="L4" s="6" t="s">
        <v>20</v>
      </c>
      <c r="M4" s="6">
        <v>36.33</v>
      </c>
    </row>
    <row r="5" spans="1:13" x14ac:dyDescent="0.3">
      <c r="A5" s="6">
        <v>4</v>
      </c>
      <c r="B5" s="6">
        <v>2018</v>
      </c>
      <c r="C5" s="6" t="s">
        <v>13</v>
      </c>
      <c r="D5" s="6">
        <v>92</v>
      </c>
      <c r="E5" s="6">
        <v>62</v>
      </c>
      <c r="F5" s="6">
        <v>7</v>
      </c>
      <c r="G5" s="6">
        <v>4</v>
      </c>
      <c r="H5" s="6">
        <v>148.38</v>
      </c>
      <c r="I5" s="6">
        <v>11</v>
      </c>
      <c r="J5" s="6">
        <v>1</v>
      </c>
      <c r="K5" s="6">
        <v>0</v>
      </c>
      <c r="L5" s="6" t="s">
        <v>19</v>
      </c>
      <c r="M5" s="6">
        <v>67</v>
      </c>
    </row>
    <row r="6" spans="1:13" x14ac:dyDescent="0.3">
      <c r="A6" s="6">
        <v>5</v>
      </c>
      <c r="B6" s="6">
        <v>2018</v>
      </c>
      <c r="C6" s="6" t="s">
        <v>16</v>
      </c>
      <c r="D6" s="6">
        <v>30</v>
      </c>
      <c r="E6" s="6">
        <v>26</v>
      </c>
      <c r="F6" s="6">
        <v>2</v>
      </c>
      <c r="G6" s="6">
        <v>1</v>
      </c>
      <c r="H6" s="6">
        <v>115.38</v>
      </c>
      <c r="I6" s="6">
        <v>7</v>
      </c>
      <c r="J6" s="6">
        <v>0</v>
      </c>
      <c r="K6" s="6">
        <v>0</v>
      </c>
      <c r="L6" s="6" t="s">
        <v>20</v>
      </c>
      <c r="M6" s="6">
        <v>57.75</v>
      </c>
    </row>
    <row r="7" spans="1:13" x14ac:dyDescent="0.3">
      <c r="A7" s="6">
        <v>6</v>
      </c>
      <c r="B7" s="6">
        <v>2018</v>
      </c>
      <c r="C7" s="6" t="s">
        <v>15</v>
      </c>
      <c r="D7" s="6">
        <v>18</v>
      </c>
      <c r="E7" s="6">
        <v>15</v>
      </c>
      <c r="F7" s="6">
        <v>3</v>
      </c>
      <c r="G7" s="6">
        <v>0</v>
      </c>
      <c r="H7" s="6">
        <v>120</v>
      </c>
      <c r="I7" s="6">
        <v>6</v>
      </c>
      <c r="J7" s="6">
        <v>0</v>
      </c>
      <c r="K7" s="6">
        <v>0</v>
      </c>
      <c r="L7" s="6" t="s">
        <v>20</v>
      </c>
      <c r="M7" s="6">
        <v>49.8</v>
      </c>
    </row>
    <row r="8" spans="1:13" x14ac:dyDescent="0.3">
      <c r="A8" s="6">
        <v>7</v>
      </c>
      <c r="B8" s="6">
        <v>2018</v>
      </c>
      <c r="C8" s="6" t="s">
        <v>12</v>
      </c>
      <c r="D8" s="6">
        <v>68</v>
      </c>
      <c r="E8" s="6">
        <v>44</v>
      </c>
      <c r="F8" s="6">
        <v>5</v>
      </c>
      <c r="G8" s="6">
        <v>3</v>
      </c>
      <c r="H8" s="6">
        <v>154.54</v>
      </c>
      <c r="I8" s="6">
        <v>6</v>
      </c>
      <c r="J8" s="6">
        <v>1</v>
      </c>
      <c r="K8" s="6">
        <v>0</v>
      </c>
      <c r="L8" s="6" t="s">
        <v>19</v>
      </c>
      <c r="M8" s="6">
        <v>63.4</v>
      </c>
    </row>
    <row r="9" spans="1:13" x14ac:dyDescent="0.3">
      <c r="A9" s="6">
        <v>8</v>
      </c>
      <c r="B9" s="6">
        <v>2018</v>
      </c>
      <c r="C9" s="6" t="s">
        <v>13</v>
      </c>
      <c r="D9" s="6">
        <v>32</v>
      </c>
      <c r="E9" s="6">
        <v>26</v>
      </c>
      <c r="F9" s="6">
        <v>2</v>
      </c>
      <c r="G9" s="6">
        <v>1</v>
      </c>
      <c r="H9" s="6">
        <v>123.08</v>
      </c>
      <c r="I9" s="6">
        <v>5</v>
      </c>
      <c r="J9" s="6">
        <v>0</v>
      </c>
      <c r="K9" s="6">
        <v>0</v>
      </c>
      <c r="L9" s="6" t="s">
        <v>20</v>
      </c>
      <c r="M9" s="6">
        <v>58.17</v>
      </c>
    </row>
    <row r="10" spans="1:13" x14ac:dyDescent="0.3">
      <c r="A10" s="6">
        <v>9</v>
      </c>
      <c r="B10" s="6">
        <v>2018</v>
      </c>
      <c r="C10" s="6" t="s">
        <v>15</v>
      </c>
      <c r="D10" s="6">
        <v>8</v>
      </c>
      <c r="E10" s="6">
        <v>11</v>
      </c>
      <c r="F10" s="6">
        <v>1</v>
      </c>
      <c r="G10" s="6">
        <v>0</v>
      </c>
      <c r="H10" s="6">
        <v>72.73</v>
      </c>
      <c r="I10" s="6">
        <v>6</v>
      </c>
      <c r="J10" s="6">
        <v>0</v>
      </c>
      <c r="K10" s="6">
        <v>0</v>
      </c>
      <c r="L10" s="6" t="s">
        <v>20</v>
      </c>
      <c r="M10" s="6">
        <v>51</v>
      </c>
    </row>
    <row r="11" spans="1:13" x14ac:dyDescent="0.3">
      <c r="A11" s="6">
        <v>10</v>
      </c>
      <c r="B11" s="6">
        <v>2018</v>
      </c>
      <c r="C11" s="6" t="s">
        <v>53</v>
      </c>
      <c r="D11" s="6">
        <v>39</v>
      </c>
      <c r="E11" s="6">
        <v>30</v>
      </c>
      <c r="F11" s="6">
        <v>5</v>
      </c>
      <c r="G11" s="6">
        <v>1</v>
      </c>
      <c r="H11" s="6">
        <v>130</v>
      </c>
      <c r="I11" s="6">
        <v>11</v>
      </c>
      <c r="J11" s="6">
        <v>0</v>
      </c>
      <c r="K11" s="6">
        <v>0</v>
      </c>
      <c r="L11" s="6" t="s">
        <v>20</v>
      </c>
      <c r="M11" s="6">
        <v>49.5</v>
      </c>
    </row>
    <row r="12" spans="1:13" x14ac:dyDescent="0.3">
      <c r="A12" s="6">
        <v>11</v>
      </c>
      <c r="B12" s="6">
        <v>2018</v>
      </c>
      <c r="C12" s="6" t="s">
        <v>16</v>
      </c>
      <c r="D12" s="6">
        <v>70</v>
      </c>
      <c r="E12" s="6">
        <v>40</v>
      </c>
      <c r="F12" s="6">
        <v>7</v>
      </c>
      <c r="G12" s="6">
        <v>3</v>
      </c>
      <c r="H12" s="6">
        <v>175</v>
      </c>
      <c r="I12" s="6">
        <v>6</v>
      </c>
      <c r="J12" s="6">
        <v>1</v>
      </c>
      <c r="K12" s="6">
        <v>0</v>
      </c>
      <c r="L12" s="6" t="s">
        <v>20</v>
      </c>
      <c r="M12" s="6">
        <v>51.78</v>
      </c>
    </row>
    <row r="13" spans="1:13" x14ac:dyDescent="0.3">
      <c r="A13" s="6">
        <v>12</v>
      </c>
      <c r="B13" s="6">
        <v>2018</v>
      </c>
      <c r="C13" s="6" t="s">
        <v>68</v>
      </c>
      <c r="D13" s="6">
        <v>48</v>
      </c>
      <c r="E13" s="6">
        <v>28</v>
      </c>
      <c r="F13" s="6">
        <v>6</v>
      </c>
      <c r="G13" s="6">
        <v>2</v>
      </c>
      <c r="H13" s="6">
        <v>171.43</v>
      </c>
      <c r="I13" s="6">
        <v>8</v>
      </c>
      <c r="J13" s="6">
        <v>1</v>
      </c>
      <c r="K13" s="6">
        <v>0</v>
      </c>
      <c r="L13" s="6" t="s">
        <v>19</v>
      </c>
      <c r="M13" s="6">
        <v>57.11</v>
      </c>
    </row>
    <row r="14" spans="1:13" x14ac:dyDescent="0.3">
      <c r="A14" s="6">
        <v>13</v>
      </c>
      <c r="B14" s="6">
        <v>2018</v>
      </c>
      <c r="C14" s="6" t="s">
        <v>53</v>
      </c>
      <c r="D14" s="6">
        <v>12</v>
      </c>
      <c r="E14" s="6">
        <v>11</v>
      </c>
      <c r="F14" s="6">
        <v>2</v>
      </c>
      <c r="G14" s="6">
        <v>0</v>
      </c>
      <c r="H14" s="6">
        <v>109.09</v>
      </c>
      <c r="I14" s="6">
        <v>5</v>
      </c>
      <c r="J14" s="6">
        <v>0</v>
      </c>
      <c r="K14" s="6">
        <v>0</v>
      </c>
      <c r="L14" s="6" t="s">
        <v>20</v>
      </c>
      <c r="M14" s="6">
        <v>52.6</v>
      </c>
    </row>
    <row r="15" spans="1:13" x14ac:dyDescent="0.3">
      <c r="A15" s="6">
        <v>14</v>
      </c>
      <c r="B15" s="6">
        <v>2018</v>
      </c>
      <c r="C15" s="6" t="s">
        <v>14</v>
      </c>
      <c r="D15" s="6">
        <v>4</v>
      </c>
      <c r="E15" s="6">
        <v>9</v>
      </c>
      <c r="F15" s="6">
        <v>0</v>
      </c>
      <c r="G15" s="6">
        <v>0</v>
      </c>
      <c r="H15" s="6">
        <v>44.44</v>
      </c>
      <c r="I15" s="6">
        <v>5</v>
      </c>
      <c r="J15" s="6">
        <v>0</v>
      </c>
      <c r="K15" s="6">
        <v>0</v>
      </c>
      <c r="L15" s="6" t="s">
        <v>20</v>
      </c>
      <c r="M15" s="6">
        <v>48.18</v>
      </c>
    </row>
    <row r="18" spans="3:13" x14ac:dyDescent="0.3">
      <c r="C18" s="17" t="s">
        <v>85</v>
      </c>
      <c r="D18" s="19">
        <f>SUM(D2:D15)/SUM(E2:E15)*100</f>
        <v>139.10761154855641</v>
      </c>
      <c r="L18" s="17" t="s">
        <v>88</v>
      </c>
      <c r="M18">
        <f>M15</f>
        <v>48.18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6264-E4A5-4AD8-8B27-48304C68DD4B}">
  <dimension ref="A1:M18"/>
  <sheetViews>
    <sheetView workbookViewId="0">
      <selection activeCell="M19" sqref="M19"/>
    </sheetView>
  </sheetViews>
  <sheetFormatPr defaultRowHeight="14.4" x14ac:dyDescent="0.3"/>
  <cols>
    <col min="3" max="3" width="10" customWidth="1"/>
  </cols>
  <sheetData>
    <row r="1" spans="1:13" ht="28.8" x14ac:dyDescent="0.3">
      <c r="A1" s="9" t="s">
        <v>21</v>
      </c>
      <c r="B1" s="9" t="s">
        <v>0</v>
      </c>
      <c r="C1" s="9" t="s">
        <v>1</v>
      </c>
      <c r="D1" s="9" t="s">
        <v>2</v>
      </c>
      <c r="E1" s="9" t="s">
        <v>3</v>
      </c>
      <c r="F1" s="9" t="s">
        <v>4</v>
      </c>
      <c r="G1" s="9" t="s">
        <v>5</v>
      </c>
      <c r="H1" s="9" t="s">
        <v>57</v>
      </c>
      <c r="I1" s="9" t="s">
        <v>7</v>
      </c>
      <c r="J1" s="9" t="s">
        <v>8</v>
      </c>
      <c r="K1" s="9" t="s">
        <v>9</v>
      </c>
      <c r="L1" s="9" t="s">
        <v>10</v>
      </c>
      <c r="M1" s="9" t="s">
        <v>11</v>
      </c>
    </row>
    <row r="2" spans="1:13" x14ac:dyDescent="0.3">
      <c r="A2" s="6">
        <v>1</v>
      </c>
      <c r="B2" s="6">
        <v>2019</v>
      </c>
      <c r="C2" s="6" t="s">
        <v>15</v>
      </c>
      <c r="D2" s="6">
        <v>6</v>
      </c>
      <c r="E2" s="6">
        <v>12</v>
      </c>
      <c r="F2" s="6">
        <v>0</v>
      </c>
      <c r="G2" s="6">
        <v>0</v>
      </c>
      <c r="H2" s="6">
        <v>50</v>
      </c>
      <c r="I2" s="6">
        <v>6</v>
      </c>
      <c r="J2" s="6">
        <v>0</v>
      </c>
      <c r="K2" s="6">
        <v>0</v>
      </c>
      <c r="L2" s="6" t="s">
        <v>20</v>
      </c>
      <c r="M2" s="6">
        <v>6</v>
      </c>
    </row>
    <row r="3" spans="1:13" x14ac:dyDescent="0.3">
      <c r="A3" s="6">
        <v>2</v>
      </c>
      <c r="B3" s="6">
        <v>2019</v>
      </c>
      <c r="C3" s="6" t="s">
        <v>13</v>
      </c>
      <c r="D3" s="6">
        <v>46</v>
      </c>
      <c r="E3" s="6">
        <v>32</v>
      </c>
      <c r="F3" s="6">
        <v>6</v>
      </c>
      <c r="G3" s="6">
        <v>0</v>
      </c>
      <c r="H3" s="6">
        <v>143.75</v>
      </c>
      <c r="I3" s="6">
        <v>4</v>
      </c>
      <c r="J3" s="6">
        <v>0</v>
      </c>
      <c r="K3" s="6">
        <v>0</v>
      </c>
      <c r="L3" s="6" t="s">
        <v>20</v>
      </c>
      <c r="M3" s="6">
        <v>26</v>
      </c>
    </row>
    <row r="4" spans="1:13" x14ac:dyDescent="0.3">
      <c r="A4" s="6">
        <v>3</v>
      </c>
      <c r="B4" s="6">
        <v>2019</v>
      </c>
      <c r="C4" s="6" t="s">
        <v>53</v>
      </c>
      <c r="D4" s="6">
        <v>3</v>
      </c>
      <c r="E4" s="6">
        <v>10</v>
      </c>
      <c r="F4" s="6">
        <v>0</v>
      </c>
      <c r="G4" s="6">
        <v>0</v>
      </c>
      <c r="H4" s="6">
        <v>30</v>
      </c>
      <c r="I4" s="6">
        <v>7</v>
      </c>
      <c r="J4" s="6">
        <v>0</v>
      </c>
      <c r="K4" s="6">
        <v>0</v>
      </c>
      <c r="L4" s="6" t="s">
        <v>20</v>
      </c>
      <c r="M4" s="6">
        <v>18.329999999999998</v>
      </c>
    </row>
    <row r="5" spans="1:13" x14ac:dyDescent="0.3">
      <c r="A5" s="6">
        <v>4</v>
      </c>
      <c r="B5" s="6">
        <v>2019</v>
      </c>
      <c r="C5" s="6" t="s">
        <v>14</v>
      </c>
      <c r="D5" s="6">
        <v>23</v>
      </c>
      <c r="E5" s="6">
        <v>25</v>
      </c>
      <c r="F5" s="6">
        <v>3</v>
      </c>
      <c r="G5" s="6">
        <v>0</v>
      </c>
      <c r="H5" s="6">
        <v>92</v>
      </c>
      <c r="I5" s="6">
        <v>11</v>
      </c>
      <c r="J5" s="6">
        <v>0</v>
      </c>
      <c r="K5" s="6">
        <v>0</v>
      </c>
      <c r="L5" s="6" t="s">
        <v>20</v>
      </c>
      <c r="M5" s="6">
        <v>19.5</v>
      </c>
    </row>
    <row r="6" spans="1:13" x14ac:dyDescent="0.3">
      <c r="A6" s="6">
        <v>5</v>
      </c>
      <c r="B6" s="6">
        <v>2019</v>
      </c>
      <c r="C6" s="6" t="s">
        <v>12</v>
      </c>
      <c r="D6" s="6">
        <v>84</v>
      </c>
      <c r="E6" s="6">
        <v>49</v>
      </c>
      <c r="F6" s="6">
        <v>9</v>
      </c>
      <c r="G6" s="6">
        <v>2</v>
      </c>
      <c r="H6" s="6">
        <v>171.43</v>
      </c>
      <c r="I6" s="6">
        <v>2</v>
      </c>
      <c r="J6" s="6">
        <v>1</v>
      </c>
      <c r="K6" s="6">
        <v>0</v>
      </c>
      <c r="L6" s="6" t="s">
        <v>20</v>
      </c>
      <c r="M6" s="6">
        <v>32.4</v>
      </c>
    </row>
    <row r="7" spans="1:13" x14ac:dyDescent="0.3">
      <c r="A7" s="6">
        <v>6</v>
      </c>
      <c r="B7" s="6">
        <v>2019</v>
      </c>
      <c r="C7" s="6" t="s">
        <v>16</v>
      </c>
      <c r="D7" s="6">
        <v>41</v>
      </c>
      <c r="E7" s="6">
        <v>33</v>
      </c>
      <c r="F7" s="6">
        <v>1</v>
      </c>
      <c r="G7" s="6">
        <v>2</v>
      </c>
      <c r="H7" s="6">
        <v>124.24</v>
      </c>
      <c r="I7" s="6">
        <v>5</v>
      </c>
      <c r="J7" s="6">
        <v>0</v>
      </c>
      <c r="K7" s="6">
        <v>0</v>
      </c>
      <c r="L7" s="6" t="s">
        <v>20</v>
      </c>
      <c r="M7" s="6">
        <v>33.83</v>
      </c>
    </row>
    <row r="8" spans="1:13" x14ac:dyDescent="0.3">
      <c r="A8" s="6">
        <v>7</v>
      </c>
      <c r="B8" s="6">
        <v>2019</v>
      </c>
      <c r="C8" s="6" t="s">
        <v>18</v>
      </c>
      <c r="D8" s="6">
        <v>67</v>
      </c>
      <c r="E8" s="6">
        <v>53</v>
      </c>
      <c r="F8" s="6">
        <v>8</v>
      </c>
      <c r="G8" s="6">
        <v>0</v>
      </c>
      <c r="H8" s="6">
        <v>126.42</v>
      </c>
      <c r="I8" s="6">
        <v>10</v>
      </c>
      <c r="J8" s="6">
        <v>1</v>
      </c>
      <c r="K8" s="6">
        <v>0</v>
      </c>
      <c r="L8" s="6" t="s">
        <v>20</v>
      </c>
      <c r="M8" s="6">
        <v>38.57</v>
      </c>
    </row>
    <row r="9" spans="1:13" x14ac:dyDescent="0.3">
      <c r="A9" s="6">
        <v>8</v>
      </c>
      <c r="B9" s="6">
        <v>2019</v>
      </c>
      <c r="C9" s="6" t="s">
        <v>13</v>
      </c>
      <c r="D9" s="6">
        <v>8</v>
      </c>
      <c r="E9" s="6">
        <v>9</v>
      </c>
      <c r="F9" s="6">
        <v>1</v>
      </c>
      <c r="G9" s="6">
        <v>0</v>
      </c>
      <c r="H9" s="6">
        <v>88.89</v>
      </c>
      <c r="I9" s="6">
        <v>4</v>
      </c>
      <c r="J9" s="6">
        <v>0</v>
      </c>
      <c r="K9" s="6">
        <v>0</v>
      </c>
      <c r="L9" s="6" t="s">
        <v>20</v>
      </c>
      <c r="M9" s="6">
        <v>34.75</v>
      </c>
    </row>
    <row r="10" spans="1:13" x14ac:dyDescent="0.3">
      <c r="A10" s="6">
        <v>9</v>
      </c>
      <c r="B10" s="6">
        <v>2019</v>
      </c>
      <c r="C10" s="6" t="s">
        <v>12</v>
      </c>
      <c r="D10" s="6">
        <v>100</v>
      </c>
      <c r="E10" s="6">
        <v>58</v>
      </c>
      <c r="F10" s="6">
        <v>9</v>
      </c>
      <c r="G10" s="6">
        <v>4</v>
      </c>
      <c r="H10" s="6">
        <v>172.41</v>
      </c>
      <c r="I10" s="6">
        <v>5</v>
      </c>
      <c r="J10" s="6">
        <v>1</v>
      </c>
      <c r="K10" s="6">
        <v>1</v>
      </c>
      <c r="L10" s="6" t="s">
        <v>20</v>
      </c>
      <c r="M10" s="6">
        <v>42</v>
      </c>
    </row>
    <row r="11" spans="1:13" x14ac:dyDescent="0.3">
      <c r="A11" s="6">
        <v>10</v>
      </c>
      <c r="B11" s="6">
        <v>2019</v>
      </c>
      <c r="C11" s="6" t="s">
        <v>15</v>
      </c>
      <c r="D11" s="6">
        <v>9</v>
      </c>
      <c r="E11" s="6">
        <v>8</v>
      </c>
      <c r="F11" s="6">
        <v>2</v>
      </c>
      <c r="G11" s="6">
        <v>0</v>
      </c>
      <c r="H11" s="6">
        <v>112.5</v>
      </c>
      <c r="I11" s="6">
        <v>5</v>
      </c>
      <c r="J11" s="6">
        <v>0</v>
      </c>
      <c r="K11" s="6">
        <v>0</v>
      </c>
      <c r="L11" s="6" t="s">
        <v>20</v>
      </c>
      <c r="M11" s="6">
        <v>38.700000000000003</v>
      </c>
    </row>
    <row r="12" spans="1:13" x14ac:dyDescent="0.3">
      <c r="A12" s="6">
        <v>11</v>
      </c>
      <c r="B12" s="6">
        <v>2019</v>
      </c>
      <c r="C12" s="6" t="s">
        <v>18</v>
      </c>
      <c r="D12" s="6">
        <v>13</v>
      </c>
      <c r="E12" s="6">
        <v>8</v>
      </c>
      <c r="F12" s="6">
        <v>2</v>
      </c>
      <c r="G12" s="6">
        <v>0</v>
      </c>
      <c r="H12" s="6">
        <v>162.5</v>
      </c>
      <c r="I12" s="6">
        <v>1</v>
      </c>
      <c r="J12" s="6">
        <v>0</v>
      </c>
      <c r="K12" s="6">
        <v>0</v>
      </c>
      <c r="L12" s="6" t="s">
        <v>20</v>
      </c>
      <c r="M12" s="6">
        <v>36.36</v>
      </c>
    </row>
    <row r="13" spans="1:13" x14ac:dyDescent="0.3">
      <c r="A13" s="6">
        <v>12</v>
      </c>
      <c r="B13" s="6">
        <v>2019</v>
      </c>
      <c r="C13" s="6" t="s">
        <v>16</v>
      </c>
      <c r="D13" s="6">
        <v>23</v>
      </c>
      <c r="E13" s="6">
        <v>17</v>
      </c>
      <c r="F13" s="6">
        <v>2</v>
      </c>
      <c r="G13" s="6">
        <v>1</v>
      </c>
      <c r="H13" s="6">
        <v>135.29</v>
      </c>
      <c r="I13" s="6">
        <v>5</v>
      </c>
      <c r="J13" s="6">
        <v>0</v>
      </c>
      <c r="K13" s="6">
        <v>0</v>
      </c>
      <c r="L13" s="6" t="s">
        <v>20</v>
      </c>
      <c r="M13" s="6">
        <v>35.25</v>
      </c>
    </row>
    <row r="14" spans="1:13" x14ac:dyDescent="0.3">
      <c r="A14" s="6">
        <v>13</v>
      </c>
      <c r="B14" s="6">
        <v>2019</v>
      </c>
      <c r="C14" s="6" t="s">
        <v>14</v>
      </c>
      <c r="D14" s="6">
        <v>25</v>
      </c>
      <c r="E14" s="6">
        <v>7</v>
      </c>
      <c r="F14" s="6">
        <v>1</v>
      </c>
      <c r="G14" s="6">
        <v>2</v>
      </c>
      <c r="H14" s="6">
        <v>357.14</v>
      </c>
      <c r="I14" s="6">
        <v>2</v>
      </c>
      <c r="J14" s="6">
        <v>0</v>
      </c>
      <c r="K14" s="6">
        <v>0</v>
      </c>
      <c r="L14" s="6" t="s">
        <v>20</v>
      </c>
      <c r="M14" s="6">
        <v>34.46</v>
      </c>
    </row>
    <row r="15" spans="1:13" x14ac:dyDescent="0.3">
      <c r="A15" s="6">
        <v>14</v>
      </c>
      <c r="B15" s="6">
        <v>2019</v>
      </c>
      <c r="C15" s="6" t="s">
        <v>53</v>
      </c>
      <c r="D15" s="6">
        <v>16</v>
      </c>
      <c r="E15" s="6">
        <v>7</v>
      </c>
      <c r="F15" s="6">
        <v>2</v>
      </c>
      <c r="G15" s="6">
        <v>1</v>
      </c>
      <c r="H15" s="6">
        <v>228.57</v>
      </c>
      <c r="I15" s="6">
        <v>2</v>
      </c>
      <c r="J15" s="6">
        <v>0</v>
      </c>
      <c r="K15" s="6">
        <v>0</v>
      </c>
      <c r="L15" s="6" t="s">
        <v>20</v>
      </c>
      <c r="M15" s="6">
        <v>33.14</v>
      </c>
    </row>
    <row r="18" spans="3:13" x14ac:dyDescent="0.3">
      <c r="C18" s="17" t="s">
        <v>85</v>
      </c>
      <c r="D18" s="19">
        <f>SUM(D2:D15)/SUM(E2:E15)*100</f>
        <v>141.46341463414635</v>
      </c>
      <c r="L18" s="17" t="s">
        <v>88</v>
      </c>
      <c r="M18">
        <f>M15</f>
        <v>33.14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DB70-AC96-4CF9-99A6-62418357F3A7}">
  <dimension ref="A1:M19"/>
  <sheetViews>
    <sheetView workbookViewId="0">
      <selection activeCell="M20" sqref="M20"/>
    </sheetView>
  </sheetViews>
  <sheetFormatPr defaultRowHeight="14.4" x14ac:dyDescent="0.3"/>
  <cols>
    <col min="3" max="3" width="10.5546875" customWidth="1"/>
  </cols>
  <sheetData>
    <row r="1" spans="1:13" ht="28.8" x14ac:dyDescent="0.3">
      <c r="A1" s="9" t="s">
        <v>21</v>
      </c>
      <c r="B1" s="9" t="s">
        <v>70</v>
      </c>
      <c r="C1" s="9" t="s">
        <v>1</v>
      </c>
      <c r="D1" s="9" t="s">
        <v>2</v>
      </c>
      <c r="E1" s="9" t="s">
        <v>3</v>
      </c>
      <c r="F1" s="9" t="s">
        <v>4</v>
      </c>
      <c r="G1" s="9" t="s">
        <v>5</v>
      </c>
      <c r="H1" s="9" t="s">
        <v>6</v>
      </c>
      <c r="I1" s="9" t="s">
        <v>7</v>
      </c>
      <c r="J1" s="9" t="s">
        <v>8</v>
      </c>
      <c r="K1" s="9" t="s">
        <v>9</v>
      </c>
      <c r="L1" s="9" t="s">
        <v>10</v>
      </c>
      <c r="M1" s="9" t="s">
        <v>69</v>
      </c>
    </row>
    <row r="2" spans="1:13" x14ac:dyDescent="0.3">
      <c r="A2" s="6">
        <v>1</v>
      </c>
      <c r="B2" s="6">
        <v>2020</v>
      </c>
      <c r="C2" s="6" t="s">
        <v>53</v>
      </c>
      <c r="D2" s="6">
        <v>14</v>
      </c>
      <c r="E2" s="6">
        <v>13</v>
      </c>
      <c r="F2" s="6">
        <v>0</v>
      </c>
      <c r="G2" s="6">
        <v>0</v>
      </c>
      <c r="H2" s="6">
        <v>107.69</v>
      </c>
      <c r="I2" s="6">
        <v>2</v>
      </c>
      <c r="J2" s="6">
        <v>0</v>
      </c>
      <c r="K2" s="6">
        <v>0</v>
      </c>
      <c r="L2" s="6" t="s">
        <v>20</v>
      </c>
      <c r="M2" s="6">
        <v>14</v>
      </c>
    </row>
    <row r="3" spans="1:13" x14ac:dyDescent="0.3">
      <c r="A3" s="6">
        <v>2</v>
      </c>
      <c r="B3" s="6">
        <v>2020</v>
      </c>
      <c r="C3" s="6" t="s">
        <v>18</v>
      </c>
      <c r="D3" s="6">
        <v>1</v>
      </c>
      <c r="E3" s="6">
        <v>5</v>
      </c>
      <c r="F3" s="6">
        <v>0</v>
      </c>
      <c r="G3" s="6">
        <v>0</v>
      </c>
      <c r="H3" s="6">
        <v>20</v>
      </c>
      <c r="I3" s="6">
        <v>4</v>
      </c>
      <c r="J3" s="6">
        <v>0</v>
      </c>
      <c r="K3" s="6">
        <v>0</v>
      </c>
      <c r="L3" s="6" t="s">
        <v>20</v>
      </c>
      <c r="M3" s="6">
        <v>7.5</v>
      </c>
    </row>
    <row r="4" spans="1:13" x14ac:dyDescent="0.3">
      <c r="A4" s="6">
        <v>3</v>
      </c>
      <c r="B4" s="6">
        <v>2020</v>
      </c>
      <c r="C4" s="6" t="s">
        <v>13</v>
      </c>
      <c r="D4" s="6">
        <v>3</v>
      </c>
      <c r="E4" s="6">
        <v>11</v>
      </c>
      <c r="F4" s="6">
        <v>0</v>
      </c>
      <c r="G4" s="6">
        <v>0</v>
      </c>
      <c r="H4" s="6">
        <v>27.27</v>
      </c>
      <c r="I4" s="6">
        <v>8</v>
      </c>
      <c r="J4" s="6">
        <v>0</v>
      </c>
      <c r="K4" s="6">
        <v>0</v>
      </c>
      <c r="L4" s="6" t="s">
        <v>20</v>
      </c>
      <c r="M4" s="6">
        <v>6</v>
      </c>
    </row>
    <row r="5" spans="1:13" x14ac:dyDescent="0.3">
      <c r="A5" s="6">
        <v>4</v>
      </c>
      <c r="B5" s="6">
        <v>2020</v>
      </c>
      <c r="C5" s="6" t="s">
        <v>14</v>
      </c>
      <c r="D5" s="6">
        <v>72</v>
      </c>
      <c r="E5" s="6">
        <v>53</v>
      </c>
      <c r="F5" s="6">
        <v>7</v>
      </c>
      <c r="G5" s="6">
        <v>2</v>
      </c>
      <c r="H5" s="6">
        <v>135.85</v>
      </c>
      <c r="I5" s="6">
        <v>19</v>
      </c>
      <c r="J5" s="6">
        <v>1</v>
      </c>
      <c r="K5" s="6">
        <v>0</v>
      </c>
      <c r="L5" s="6" t="s">
        <v>19</v>
      </c>
      <c r="M5" s="6">
        <v>30</v>
      </c>
    </row>
    <row r="6" spans="1:13" x14ac:dyDescent="0.3">
      <c r="A6" s="6">
        <v>5</v>
      </c>
      <c r="B6" s="6">
        <v>2020</v>
      </c>
      <c r="C6" s="6" t="s">
        <v>16</v>
      </c>
      <c r="D6" s="6">
        <v>43</v>
      </c>
      <c r="E6" s="6">
        <v>39</v>
      </c>
      <c r="F6" s="6">
        <v>2</v>
      </c>
      <c r="G6" s="6">
        <v>1</v>
      </c>
      <c r="H6" s="6">
        <v>110.26</v>
      </c>
      <c r="I6" s="6">
        <v>12</v>
      </c>
      <c r="J6" s="6">
        <v>0</v>
      </c>
      <c r="K6" s="6">
        <v>0</v>
      </c>
      <c r="L6" s="6" t="s">
        <v>20</v>
      </c>
      <c r="M6" s="6">
        <v>33.25</v>
      </c>
    </row>
    <row r="7" spans="1:13" x14ac:dyDescent="0.3">
      <c r="A7" s="6">
        <v>6</v>
      </c>
      <c r="B7" s="6">
        <v>2020</v>
      </c>
      <c r="C7" s="6" t="s">
        <v>15</v>
      </c>
      <c r="D7" s="6">
        <v>90</v>
      </c>
      <c r="E7" s="6">
        <v>52</v>
      </c>
      <c r="F7" s="6">
        <v>4</v>
      </c>
      <c r="G7" s="6">
        <v>4</v>
      </c>
      <c r="H7" s="6">
        <v>173.08</v>
      </c>
      <c r="I7" s="6">
        <v>5</v>
      </c>
      <c r="J7" s="6">
        <v>1</v>
      </c>
      <c r="K7" s="6">
        <v>0</v>
      </c>
      <c r="L7" s="6" t="s">
        <v>19</v>
      </c>
      <c r="M7" s="6">
        <v>55.75</v>
      </c>
    </row>
    <row r="8" spans="1:13" x14ac:dyDescent="0.3">
      <c r="A8" s="6">
        <v>7</v>
      </c>
      <c r="B8" s="6">
        <v>2020</v>
      </c>
      <c r="C8" s="6" t="s">
        <v>12</v>
      </c>
      <c r="D8" s="6">
        <v>33</v>
      </c>
      <c r="E8" s="6">
        <v>28</v>
      </c>
      <c r="F8" s="6">
        <v>1</v>
      </c>
      <c r="G8" s="6">
        <v>0</v>
      </c>
      <c r="H8" s="6">
        <v>117.86</v>
      </c>
      <c r="I8" s="6">
        <v>5</v>
      </c>
      <c r="J8" s="6">
        <v>0</v>
      </c>
      <c r="K8" s="6">
        <v>0</v>
      </c>
      <c r="L8" s="6" t="s">
        <v>19</v>
      </c>
      <c r="M8" s="6">
        <v>64</v>
      </c>
    </row>
    <row r="9" spans="1:13" x14ac:dyDescent="0.3">
      <c r="A9" s="6">
        <v>8</v>
      </c>
      <c r="B9" s="6">
        <v>2020</v>
      </c>
      <c r="C9" s="6" t="s">
        <v>18</v>
      </c>
      <c r="D9" s="6">
        <v>48</v>
      </c>
      <c r="E9" s="6">
        <v>39</v>
      </c>
      <c r="F9" s="6">
        <v>3</v>
      </c>
      <c r="G9" s="6">
        <v>0</v>
      </c>
      <c r="H9" s="6">
        <v>123.08</v>
      </c>
      <c r="I9" s="6">
        <v>5</v>
      </c>
      <c r="J9" s="6">
        <v>0</v>
      </c>
      <c r="K9" s="6">
        <v>0</v>
      </c>
      <c r="L9" s="6" t="s">
        <v>20</v>
      </c>
      <c r="M9" s="6">
        <v>60.8</v>
      </c>
    </row>
    <row r="10" spans="1:13" x14ac:dyDescent="0.3">
      <c r="A10" s="6">
        <v>9</v>
      </c>
      <c r="B10" s="6">
        <v>2020</v>
      </c>
      <c r="C10" s="6" t="s">
        <v>14</v>
      </c>
      <c r="D10" s="6">
        <v>43</v>
      </c>
      <c r="E10" s="6">
        <v>32</v>
      </c>
      <c r="F10" s="6">
        <v>1</v>
      </c>
      <c r="G10" s="6">
        <v>2</v>
      </c>
      <c r="H10" s="6">
        <v>134.38</v>
      </c>
      <c r="I10" s="6">
        <v>8</v>
      </c>
      <c r="J10" s="6">
        <v>0</v>
      </c>
      <c r="K10" s="6">
        <v>0</v>
      </c>
      <c r="L10" s="6" t="s">
        <v>20</v>
      </c>
      <c r="M10" s="6">
        <v>57.83</v>
      </c>
    </row>
    <row r="11" spans="1:13" x14ac:dyDescent="0.3">
      <c r="A11" s="6">
        <v>10</v>
      </c>
      <c r="B11" s="6">
        <v>2020</v>
      </c>
      <c r="C11" s="6" t="s">
        <v>12</v>
      </c>
      <c r="D11" s="6">
        <v>18</v>
      </c>
      <c r="E11" s="6">
        <v>17</v>
      </c>
      <c r="F11" s="6">
        <v>2</v>
      </c>
      <c r="G11" s="6">
        <v>0</v>
      </c>
      <c r="H11" s="6">
        <v>105.88</v>
      </c>
      <c r="I11" s="6">
        <v>6</v>
      </c>
      <c r="J11" s="6">
        <v>0</v>
      </c>
      <c r="K11" s="6">
        <v>0</v>
      </c>
      <c r="L11" s="6" t="s">
        <v>19</v>
      </c>
      <c r="M11" s="6">
        <v>60.83</v>
      </c>
    </row>
    <row r="12" spans="1:13" x14ac:dyDescent="0.3">
      <c r="A12" s="6">
        <v>11</v>
      </c>
      <c r="B12" s="6">
        <v>2020</v>
      </c>
      <c r="C12" s="6" t="s">
        <v>15</v>
      </c>
      <c r="D12" s="6">
        <v>50</v>
      </c>
      <c r="E12" s="6">
        <v>43</v>
      </c>
      <c r="F12" s="6">
        <v>1</v>
      </c>
      <c r="G12" s="6">
        <v>1</v>
      </c>
      <c r="H12" s="6">
        <v>116.28</v>
      </c>
      <c r="I12" s="6">
        <v>7</v>
      </c>
      <c r="J12" s="6">
        <v>1</v>
      </c>
      <c r="K12" s="6">
        <v>0</v>
      </c>
      <c r="L12" s="6" t="s">
        <v>20</v>
      </c>
      <c r="M12" s="6">
        <v>59.29</v>
      </c>
    </row>
    <row r="13" spans="1:13" x14ac:dyDescent="0.3">
      <c r="A13" s="6">
        <v>12</v>
      </c>
      <c r="B13" s="6">
        <v>2020</v>
      </c>
      <c r="C13" s="6" t="s">
        <v>13</v>
      </c>
      <c r="D13" s="6">
        <v>9</v>
      </c>
      <c r="E13" s="6">
        <v>14</v>
      </c>
      <c r="F13" s="6">
        <v>0</v>
      </c>
      <c r="G13" s="6">
        <v>0</v>
      </c>
      <c r="H13" s="6">
        <v>64.290000000000006</v>
      </c>
      <c r="I13" s="6">
        <v>7</v>
      </c>
      <c r="J13" s="6">
        <v>0</v>
      </c>
      <c r="K13" s="6">
        <v>0</v>
      </c>
      <c r="L13" s="6" t="s">
        <v>20</v>
      </c>
      <c r="M13" s="6">
        <v>53</v>
      </c>
    </row>
    <row r="14" spans="1:13" x14ac:dyDescent="0.3">
      <c r="A14" s="6">
        <v>13</v>
      </c>
      <c r="B14" s="6">
        <v>2020</v>
      </c>
      <c r="C14" s="6" t="s">
        <v>53</v>
      </c>
      <c r="D14" s="6">
        <v>7</v>
      </c>
      <c r="E14" s="6">
        <v>7</v>
      </c>
      <c r="F14" s="6">
        <v>0</v>
      </c>
      <c r="G14" s="6">
        <v>0</v>
      </c>
      <c r="H14" s="6">
        <v>100</v>
      </c>
      <c r="I14" s="6">
        <v>2</v>
      </c>
      <c r="J14" s="6">
        <v>0</v>
      </c>
      <c r="K14" s="6">
        <v>0</v>
      </c>
      <c r="L14" s="6" t="s">
        <v>20</v>
      </c>
      <c r="M14" s="6">
        <v>47.89</v>
      </c>
    </row>
    <row r="15" spans="1:13" x14ac:dyDescent="0.3">
      <c r="A15" s="6">
        <v>14</v>
      </c>
      <c r="B15" s="6">
        <v>2020</v>
      </c>
      <c r="C15" s="6" t="s">
        <v>16</v>
      </c>
      <c r="D15" s="6">
        <v>29</v>
      </c>
      <c r="E15" s="6">
        <v>24</v>
      </c>
      <c r="F15" s="6">
        <v>2</v>
      </c>
      <c r="G15" s="6">
        <v>1</v>
      </c>
      <c r="H15" s="6">
        <v>120.83</v>
      </c>
      <c r="I15" s="6">
        <v>7</v>
      </c>
      <c r="J15" s="6">
        <v>0</v>
      </c>
      <c r="K15" s="6">
        <v>0</v>
      </c>
      <c r="L15" s="6" t="s">
        <v>20</v>
      </c>
      <c r="M15" s="6">
        <v>46</v>
      </c>
    </row>
    <row r="16" spans="1:13" x14ac:dyDescent="0.3">
      <c r="A16" s="6">
        <v>15</v>
      </c>
      <c r="B16" s="6">
        <v>2020</v>
      </c>
      <c r="C16" s="6" t="s">
        <v>53</v>
      </c>
      <c r="D16" s="6">
        <v>6</v>
      </c>
      <c r="E16" s="6">
        <v>7</v>
      </c>
      <c r="F16" s="6">
        <v>0</v>
      </c>
      <c r="G16" s="6">
        <v>0</v>
      </c>
      <c r="H16" s="6">
        <v>85.71</v>
      </c>
      <c r="I16" s="6">
        <v>3</v>
      </c>
      <c r="J16" s="6">
        <v>0</v>
      </c>
      <c r="K16" s="6">
        <v>0</v>
      </c>
      <c r="L16" s="6" t="s">
        <v>20</v>
      </c>
      <c r="M16" s="6">
        <v>42.36</v>
      </c>
    </row>
    <row r="19" spans="3:13" ht="16.8" customHeight="1" x14ac:dyDescent="0.3">
      <c r="C19" s="17" t="s">
        <v>85</v>
      </c>
      <c r="D19" s="19">
        <f>SUM(D2:D16)/SUM(E2:E16)*100</f>
        <v>121.35416666666667</v>
      </c>
      <c r="L19" s="17" t="s">
        <v>88</v>
      </c>
      <c r="M19">
        <f>M16</f>
        <v>42.36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D251-0605-46E1-95C9-55CBC41ADEB6}">
  <dimension ref="A1:M19"/>
  <sheetViews>
    <sheetView workbookViewId="0">
      <selection activeCell="M20" sqref="M20"/>
    </sheetView>
  </sheetViews>
  <sheetFormatPr defaultRowHeight="14.4" x14ac:dyDescent="0.3"/>
  <cols>
    <col min="3" max="3" width="10.6640625" customWidth="1"/>
  </cols>
  <sheetData>
    <row r="1" spans="1:13" ht="28.8" x14ac:dyDescent="0.3">
      <c r="A1" s="9" t="s">
        <v>21</v>
      </c>
      <c r="B1" s="9" t="s">
        <v>0</v>
      </c>
      <c r="C1" s="13" t="s">
        <v>1</v>
      </c>
      <c r="D1" s="9" t="s">
        <v>2</v>
      </c>
      <c r="E1" s="9" t="s">
        <v>3</v>
      </c>
      <c r="F1" s="9" t="s">
        <v>4</v>
      </c>
      <c r="G1" s="9" t="s">
        <v>5</v>
      </c>
      <c r="H1" s="9" t="s">
        <v>6</v>
      </c>
      <c r="I1" s="9" t="s">
        <v>7</v>
      </c>
      <c r="J1" s="9" t="s">
        <v>8</v>
      </c>
      <c r="K1" s="9" t="s">
        <v>9</v>
      </c>
      <c r="L1" s="9" t="s">
        <v>10</v>
      </c>
      <c r="M1" s="9" t="s">
        <v>11</v>
      </c>
    </row>
    <row r="2" spans="1:13" x14ac:dyDescent="0.3">
      <c r="A2" s="6">
        <v>1</v>
      </c>
      <c r="B2" s="6">
        <v>2021</v>
      </c>
      <c r="C2" s="10" t="s">
        <v>13</v>
      </c>
      <c r="D2" s="6">
        <v>33</v>
      </c>
      <c r="E2" s="6">
        <v>29</v>
      </c>
      <c r="F2" s="6">
        <v>4</v>
      </c>
      <c r="G2" s="6">
        <v>0</v>
      </c>
      <c r="H2" s="6">
        <v>113.79</v>
      </c>
      <c r="I2" s="6">
        <v>15</v>
      </c>
      <c r="J2" s="6">
        <v>0</v>
      </c>
      <c r="K2" s="6">
        <v>0</v>
      </c>
      <c r="L2" s="6" t="s">
        <v>20</v>
      </c>
      <c r="M2" s="6">
        <v>33</v>
      </c>
    </row>
    <row r="3" spans="1:13" x14ac:dyDescent="0.3">
      <c r="A3" s="6">
        <v>2</v>
      </c>
      <c r="B3" s="6">
        <v>2021</v>
      </c>
      <c r="C3" s="10" t="s">
        <v>53</v>
      </c>
      <c r="D3" s="6">
        <v>33</v>
      </c>
      <c r="E3" s="6">
        <v>29</v>
      </c>
      <c r="F3" s="6">
        <v>4</v>
      </c>
      <c r="G3" s="6">
        <v>0</v>
      </c>
      <c r="H3" s="6">
        <v>113.79</v>
      </c>
      <c r="I3" s="6">
        <v>15</v>
      </c>
      <c r="J3" s="6">
        <v>0</v>
      </c>
      <c r="K3" s="6">
        <v>0</v>
      </c>
      <c r="L3" s="6" t="s">
        <v>20</v>
      </c>
      <c r="M3" s="6">
        <v>33</v>
      </c>
    </row>
    <row r="4" spans="1:13" x14ac:dyDescent="0.3">
      <c r="A4" s="6">
        <v>3</v>
      </c>
      <c r="B4" s="6">
        <v>2021</v>
      </c>
      <c r="C4" s="10" t="s">
        <v>12</v>
      </c>
      <c r="D4" s="6">
        <v>5</v>
      </c>
      <c r="E4" s="6">
        <v>6</v>
      </c>
      <c r="F4" s="6">
        <v>1</v>
      </c>
      <c r="G4" s="6">
        <v>0</v>
      </c>
      <c r="H4" s="6">
        <v>83.33</v>
      </c>
      <c r="I4" s="6">
        <v>4</v>
      </c>
      <c r="J4" s="6">
        <v>0</v>
      </c>
      <c r="K4" s="6">
        <v>0</v>
      </c>
      <c r="L4" s="6" t="s">
        <v>20</v>
      </c>
      <c r="M4" s="6">
        <v>23.67</v>
      </c>
    </row>
    <row r="5" spans="1:13" x14ac:dyDescent="0.3">
      <c r="A5" s="6">
        <v>4</v>
      </c>
      <c r="B5" s="6">
        <v>2021</v>
      </c>
      <c r="C5" s="10" t="s">
        <v>14</v>
      </c>
      <c r="D5" s="6">
        <v>72</v>
      </c>
      <c r="E5" s="6">
        <v>47</v>
      </c>
      <c r="F5" s="6">
        <v>6</v>
      </c>
      <c r="G5" s="6">
        <v>3</v>
      </c>
      <c r="H5" s="6">
        <v>153.19</v>
      </c>
      <c r="I5" s="6">
        <v>8</v>
      </c>
      <c r="J5" s="6">
        <v>1</v>
      </c>
      <c r="K5" s="6">
        <v>0</v>
      </c>
      <c r="L5" s="6" t="s">
        <v>19</v>
      </c>
      <c r="M5" s="6">
        <v>47.67</v>
      </c>
    </row>
    <row r="6" spans="1:13" x14ac:dyDescent="0.3">
      <c r="A6" s="6">
        <v>5</v>
      </c>
      <c r="B6" s="6">
        <v>2021</v>
      </c>
      <c r="C6" s="10" t="s">
        <v>15</v>
      </c>
      <c r="D6" s="6">
        <v>8</v>
      </c>
      <c r="E6" s="6">
        <v>7</v>
      </c>
      <c r="F6" s="6">
        <v>1</v>
      </c>
      <c r="G6" s="6">
        <v>0</v>
      </c>
      <c r="H6" s="6">
        <v>114.29</v>
      </c>
      <c r="I6" s="6">
        <v>2</v>
      </c>
      <c r="J6" s="6">
        <v>0</v>
      </c>
      <c r="K6" s="6">
        <v>0</v>
      </c>
      <c r="L6" s="6" t="s">
        <v>20</v>
      </c>
      <c r="M6" s="6">
        <v>37.75</v>
      </c>
    </row>
    <row r="7" spans="1:13" x14ac:dyDescent="0.3">
      <c r="A7" s="6">
        <v>6</v>
      </c>
      <c r="B7" s="6">
        <v>2021</v>
      </c>
      <c r="C7" s="10" t="s">
        <v>16</v>
      </c>
      <c r="D7" s="6">
        <v>12</v>
      </c>
      <c r="E7" s="6">
        <v>11</v>
      </c>
      <c r="F7" s="6">
        <v>2</v>
      </c>
      <c r="G7" s="6">
        <v>0</v>
      </c>
      <c r="H7" s="6">
        <v>109.09</v>
      </c>
      <c r="I7" s="6">
        <v>5</v>
      </c>
      <c r="J7" s="6">
        <v>0</v>
      </c>
      <c r="K7" s="6">
        <v>0</v>
      </c>
      <c r="L7" s="6" t="s">
        <v>20</v>
      </c>
      <c r="M7" s="6">
        <v>32.6</v>
      </c>
    </row>
    <row r="8" spans="1:13" x14ac:dyDescent="0.3">
      <c r="A8" s="6">
        <v>7</v>
      </c>
      <c r="B8" s="6">
        <v>2021</v>
      </c>
      <c r="C8" s="10" t="s">
        <v>18</v>
      </c>
      <c r="D8" s="6">
        <v>35</v>
      </c>
      <c r="E8" s="6">
        <v>3</v>
      </c>
      <c r="F8" s="6">
        <v>0</v>
      </c>
      <c r="G8" s="6">
        <v>0</v>
      </c>
      <c r="H8" s="6">
        <v>0</v>
      </c>
      <c r="I8" s="6">
        <v>3</v>
      </c>
      <c r="J8" s="6">
        <v>0</v>
      </c>
      <c r="K8" s="6">
        <v>0</v>
      </c>
      <c r="L8" s="6" t="s">
        <v>20</v>
      </c>
      <c r="M8" s="6">
        <v>27.17</v>
      </c>
    </row>
    <row r="9" spans="1:13" x14ac:dyDescent="0.3">
      <c r="A9" s="6">
        <v>8</v>
      </c>
      <c r="B9" s="6">
        <v>2021</v>
      </c>
      <c r="C9" s="10" t="s">
        <v>12</v>
      </c>
      <c r="D9" s="6">
        <v>5</v>
      </c>
      <c r="E9" s="6">
        <v>4</v>
      </c>
      <c r="F9" s="6">
        <v>1</v>
      </c>
      <c r="G9" s="6">
        <v>0</v>
      </c>
      <c r="H9" s="6">
        <v>125</v>
      </c>
      <c r="I9" s="6">
        <v>2</v>
      </c>
      <c r="J9" s="6">
        <v>0</v>
      </c>
      <c r="K9" s="6">
        <v>0</v>
      </c>
      <c r="L9" s="6" t="s">
        <v>20</v>
      </c>
      <c r="M9" s="6">
        <v>24</v>
      </c>
    </row>
    <row r="10" spans="1:13" x14ac:dyDescent="0.3">
      <c r="A10" s="6">
        <v>9</v>
      </c>
      <c r="B10" s="6">
        <v>2021</v>
      </c>
      <c r="C10" s="10" t="s">
        <v>15</v>
      </c>
      <c r="D10" s="6">
        <v>53</v>
      </c>
      <c r="E10" s="6">
        <v>41</v>
      </c>
      <c r="F10" s="6">
        <v>6</v>
      </c>
      <c r="G10" s="6">
        <v>1</v>
      </c>
      <c r="H10" s="6">
        <v>129.27000000000001</v>
      </c>
      <c r="I10" s="6">
        <v>11</v>
      </c>
      <c r="J10" s="6">
        <v>1</v>
      </c>
      <c r="K10" s="6">
        <v>0</v>
      </c>
      <c r="L10" s="6" t="s">
        <v>20</v>
      </c>
      <c r="M10" s="6">
        <v>27.62</v>
      </c>
    </row>
    <row r="11" spans="1:13" x14ac:dyDescent="0.3">
      <c r="A11" s="6">
        <v>10</v>
      </c>
      <c r="B11" s="6">
        <v>2021</v>
      </c>
      <c r="C11" s="10" t="s">
        <v>13</v>
      </c>
      <c r="D11" s="6">
        <v>51</v>
      </c>
      <c r="E11" s="6">
        <v>42</v>
      </c>
      <c r="F11" s="6">
        <v>3</v>
      </c>
      <c r="G11" s="6">
        <v>3</v>
      </c>
      <c r="H11" s="6">
        <v>121.43</v>
      </c>
      <c r="I11" s="6">
        <v>12</v>
      </c>
      <c r="J11" s="6">
        <v>1</v>
      </c>
      <c r="K11" s="6">
        <v>0</v>
      </c>
      <c r="L11" s="6" t="s">
        <v>20</v>
      </c>
      <c r="M11" s="6">
        <v>30.22</v>
      </c>
    </row>
    <row r="12" spans="1:13" x14ac:dyDescent="0.3">
      <c r="A12" s="6">
        <v>11</v>
      </c>
      <c r="B12" s="6">
        <v>2021</v>
      </c>
      <c r="C12" s="10" t="s">
        <v>14</v>
      </c>
      <c r="D12" s="6">
        <v>25</v>
      </c>
      <c r="E12" s="6">
        <v>20</v>
      </c>
      <c r="F12" s="6">
        <v>4</v>
      </c>
      <c r="G12" s="6">
        <v>0</v>
      </c>
      <c r="H12" s="6">
        <v>125</v>
      </c>
      <c r="I12" s="6">
        <v>7</v>
      </c>
      <c r="J12" s="6">
        <v>0</v>
      </c>
      <c r="K12" s="6">
        <v>0</v>
      </c>
      <c r="L12" s="6" t="s">
        <v>20</v>
      </c>
      <c r="M12" s="6">
        <v>32.5</v>
      </c>
    </row>
    <row r="13" spans="1:13" x14ac:dyDescent="0.3">
      <c r="A13" s="6">
        <v>12</v>
      </c>
      <c r="B13" s="6">
        <v>2021</v>
      </c>
      <c r="C13" s="10" t="s">
        <v>18</v>
      </c>
      <c r="D13" s="6">
        <v>25</v>
      </c>
      <c r="E13" s="6">
        <v>24</v>
      </c>
      <c r="F13" s="6">
        <v>2</v>
      </c>
      <c r="G13" s="6">
        <v>1</v>
      </c>
      <c r="H13" s="6">
        <v>104.17</v>
      </c>
      <c r="I13" s="6">
        <v>12</v>
      </c>
      <c r="J13" s="6">
        <v>0</v>
      </c>
      <c r="K13" s="6">
        <v>0</v>
      </c>
      <c r="L13" s="6" t="s">
        <v>20</v>
      </c>
      <c r="M13" s="6">
        <v>31.82</v>
      </c>
    </row>
    <row r="14" spans="1:13" x14ac:dyDescent="0.3">
      <c r="A14" s="6">
        <v>13</v>
      </c>
      <c r="B14" s="6">
        <v>2021</v>
      </c>
      <c r="C14" s="10" t="s">
        <v>53</v>
      </c>
      <c r="D14" s="6">
        <v>5</v>
      </c>
      <c r="E14" s="6">
        <v>4</v>
      </c>
      <c r="F14" s="6">
        <v>1</v>
      </c>
      <c r="G14" s="6">
        <v>0</v>
      </c>
      <c r="H14" s="6">
        <v>125</v>
      </c>
      <c r="I14" s="6">
        <v>2</v>
      </c>
      <c r="J14" s="6">
        <v>0</v>
      </c>
      <c r="K14" s="6">
        <v>0</v>
      </c>
      <c r="L14" s="6" t="s">
        <v>20</v>
      </c>
      <c r="M14" s="6">
        <v>29.58</v>
      </c>
    </row>
    <row r="15" spans="1:13" x14ac:dyDescent="0.3">
      <c r="A15" s="6">
        <v>14</v>
      </c>
      <c r="B15" s="6">
        <v>2021</v>
      </c>
      <c r="C15" s="10" t="s">
        <v>16</v>
      </c>
      <c r="D15" s="6">
        <v>4</v>
      </c>
      <c r="E15" s="6">
        <v>8</v>
      </c>
      <c r="F15" s="6">
        <v>0</v>
      </c>
      <c r="G15" s="6">
        <v>0</v>
      </c>
      <c r="H15" s="6">
        <v>50</v>
      </c>
      <c r="I15" s="6">
        <v>4</v>
      </c>
      <c r="J15" s="6">
        <v>0</v>
      </c>
      <c r="K15" s="6">
        <v>0</v>
      </c>
      <c r="L15" s="6" t="s">
        <v>33</v>
      </c>
      <c r="M15" s="6">
        <v>20</v>
      </c>
    </row>
    <row r="16" spans="1:13" x14ac:dyDescent="0.3">
      <c r="A16" s="6">
        <v>15</v>
      </c>
      <c r="B16" s="6">
        <v>2021</v>
      </c>
      <c r="C16" s="10" t="s">
        <v>12</v>
      </c>
      <c r="D16" s="6">
        <v>39</v>
      </c>
      <c r="E16" s="6">
        <v>20</v>
      </c>
      <c r="F16" s="6">
        <v>2</v>
      </c>
      <c r="G16" s="6">
        <v>2</v>
      </c>
      <c r="H16" s="6">
        <v>194</v>
      </c>
      <c r="I16" s="6">
        <v>7</v>
      </c>
      <c r="J16" s="6">
        <v>0</v>
      </c>
      <c r="K16" s="6">
        <v>0</v>
      </c>
      <c r="L16" s="6" t="s">
        <v>20</v>
      </c>
      <c r="M16" s="6">
        <v>28.92</v>
      </c>
    </row>
    <row r="19" spans="3:13" ht="20.399999999999999" customHeight="1" x14ac:dyDescent="0.3">
      <c r="C19" s="18" t="s">
        <v>85</v>
      </c>
      <c r="D19" s="19">
        <f>SUM(D2:D16)/SUM(E2:E16)*100</f>
        <v>137.28813559322032</v>
      </c>
      <c r="L19" s="17" t="s">
        <v>88</v>
      </c>
      <c r="M19">
        <f>M16</f>
        <v>28.92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2CB1-705F-4174-9EE8-849CD2E17BE0}">
  <dimension ref="A1:M20"/>
  <sheetViews>
    <sheetView workbookViewId="0">
      <selection activeCell="M21" sqref="M21"/>
    </sheetView>
  </sheetViews>
  <sheetFormatPr defaultRowHeight="14.4" x14ac:dyDescent="0.3"/>
  <cols>
    <col min="2" max="2" width="10.5546875" customWidth="1"/>
    <col min="3" max="3" width="10.6640625" customWidth="1"/>
    <col min="12" max="12" width="13.21875" customWidth="1"/>
  </cols>
  <sheetData>
    <row r="1" spans="1:13" ht="28.8" x14ac:dyDescent="0.3">
      <c r="A1" s="9" t="s">
        <v>54</v>
      </c>
      <c r="B1" s="9" t="s">
        <v>0</v>
      </c>
      <c r="C1" s="9" t="s">
        <v>1</v>
      </c>
      <c r="D1" s="9" t="s">
        <v>2</v>
      </c>
      <c r="E1" s="9" t="s">
        <v>3</v>
      </c>
      <c r="F1" s="9" t="s">
        <v>4</v>
      </c>
      <c r="G1" s="9" t="s">
        <v>5</v>
      </c>
      <c r="H1" s="9" t="s">
        <v>6</v>
      </c>
      <c r="I1" s="9" t="s">
        <v>7</v>
      </c>
      <c r="J1" s="9" t="s">
        <v>8</v>
      </c>
      <c r="K1" s="9" t="s">
        <v>9</v>
      </c>
      <c r="L1" s="9" t="s">
        <v>10</v>
      </c>
      <c r="M1" s="9" t="s">
        <v>60</v>
      </c>
    </row>
    <row r="2" spans="1:13" x14ac:dyDescent="0.3">
      <c r="A2" s="6">
        <v>1</v>
      </c>
      <c r="B2" s="6">
        <v>2022</v>
      </c>
      <c r="C2" s="6" t="s">
        <v>18</v>
      </c>
      <c r="D2" s="6">
        <v>41</v>
      </c>
      <c r="E2" s="6">
        <v>29</v>
      </c>
      <c r="F2" s="6">
        <v>1</v>
      </c>
      <c r="G2" s="6">
        <v>2</v>
      </c>
      <c r="H2" s="6">
        <v>141.38</v>
      </c>
      <c r="I2" s="6">
        <v>8</v>
      </c>
      <c r="J2" s="6">
        <v>0</v>
      </c>
      <c r="K2" s="6">
        <v>0</v>
      </c>
      <c r="L2" s="6" t="s">
        <v>19</v>
      </c>
      <c r="M2" s="12">
        <v>41</v>
      </c>
    </row>
    <row r="3" spans="1:13" x14ac:dyDescent="0.3">
      <c r="A3" s="6">
        <v>2</v>
      </c>
      <c r="B3" s="6">
        <v>2022</v>
      </c>
      <c r="C3" s="6" t="s">
        <v>12</v>
      </c>
      <c r="D3" s="6">
        <v>12</v>
      </c>
      <c r="E3" s="6">
        <v>7</v>
      </c>
      <c r="F3" s="6">
        <v>2</v>
      </c>
      <c r="G3" s="6">
        <v>0</v>
      </c>
      <c r="H3" s="6">
        <v>171.43</v>
      </c>
      <c r="I3" s="6">
        <v>5</v>
      </c>
      <c r="J3" s="6">
        <v>0</v>
      </c>
      <c r="K3" s="6">
        <v>0</v>
      </c>
      <c r="L3" s="6" t="s">
        <v>20</v>
      </c>
      <c r="M3" s="12">
        <v>53</v>
      </c>
    </row>
    <row r="4" spans="1:13" x14ac:dyDescent="0.3">
      <c r="A4" s="6">
        <v>3</v>
      </c>
      <c r="B4" s="6">
        <v>2022</v>
      </c>
      <c r="C4" s="6" t="s">
        <v>14</v>
      </c>
      <c r="D4" s="6">
        <v>5</v>
      </c>
      <c r="E4" s="6">
        <v>6</v>
      </c>
      <c r="F4" s="6">
        <v>0</v>
      </c>
      <c r="G4" s="6">
        <v>0</v>
      </c>
      <c r="H4" s="6">
        <v>83.33</v>
      </c>
      <c r="I4" s="6">
        <v>3</v>
      </c>
      <c r="J4" s="6">
        <v>0</v>
      </c>
      <c r="K4" s="6">
        <v>0</v>
      </c>
      <c r="L4" s="6" t="s">
        <v>20</v>
      </c>
      <c r="M4" s="12">
        <v>29</v>
      </c>
    </row>
    <row r="5" spans="1:13" x14ac:dyDescent="0.3">
      <c r="A5" s="6">
        <v>4</v>
      </c>
      <c r="B5" s="6">
        <v>2022</v>
      </c>
      <c r="C5" s="6" t="s">
        <v>13</v>
      </c>
      <c r="D5" s="6">
        <v>48</v>
      </c>
      <c r="E5" s="6">
        <v>36</v>
      </c>
      <c r="F5" s="6">
        <v>5</v>
      </c>
      <c r="G5" s="6">
        <v>0</v>
      </c>
      <c r="H5" s="6">
        <v>133.33000000000001</v>
      </c>
      <c r="I5" s="6">
        <v>4</v>
      </c>
      <c r="J5" s="6">
        <v>0</v>
      </c>
      <c r="K5" s="6">
        <v>0</v>
      </c>
      <c r="L5" s="6" t="s">
        <v>20</v>
      </c>
      <c r="M5" s="12">
        <v>35.33</v>
      </c>
    </row>
    <row r="6" spans="1:13" x14ac:dyDescent="0.3">
      <c r="A6" s="6">
        <v>5</v>
      </c>
      <c r="B6" s="6">
        <v>2022</v>
      </c>
      <c r="C6" s="6" t="s">
        <v>15</v>
      </c>
      <c r="D6" s="6">
        <v>1</v>
      </c>
      <c r="E6" s="6">
        <v>3</v>
      </c>
      <c r="F6" s="6">
        <v>0</v>
      </c>
      <c r="G6" s="6">
        <v>0</v>
      </c>
      <c r="H6" s="6">
        <v>33.33</v>
      </c>
      <c r="I6" s="6">
        <v>1</v>
      </c>
      <c r="J6" s="6">
        <v>0</v>
      </c>
      <c r="K6" s="6">
        <v>0</v>
      </c>
      <c r="L6" s="6" t="s">
        <v>20</v>
      </c>
      <c r="M6" s="12">
        <v>26.75</v>
      </c>
    </row>
    <row r="7" spans="1:13" x14ac:dyDescent="0.3">
      <c r="A7" s="6">
        <v>6</v>
      </c>
      <c r="B7" s="6">
        <v>2022</v>
      </c>
      <c r="C7" s="6" t="s">
        <v>16</v>
      </c>
      <c r="D7" s="6">
        <v>12</v>
      </c>
      <c r="E7" s="6">
        <v>14</v>
      </c>
      <c r="F7" s="6">
        <v>1</v>
      </c>
      <c r="G7" s="6">
        <v>0</v>
      </c>
      <c r="H7" s="6">
        <v>85.71</v>
      </c>
      <c r="I7" s="6">
        <v>5</v>
      </c>
      <c r="J7" s="6">
        <v>0</v>
      </c>
      <c r="K7" s="6">
        <v>0</v>
      </c>
      <c r="L7" s="6" t="s">
        <v>20</v>
      </c>
      <c r="M7" s="12">
        <v>23.8</v>
      </c>
    </row>
    <row r="8" spans="1:13" x14ac:dyDescent="0.3">
      <c r="A8" s="6">
        <v>7</v>
      </c>
      <c r="B8" s="6">
        <v>2022</v>
      </c>
      <c r="C8" s="6" t="s">
        <v>58</v>
      </c>
      <c r="D8" s="6">
        <v>0</v>
      </c>
      <c r="E8" s="6">
        <v>1</v>
      </c>
      <c r="F8" s="6">
        <v>0</v>
      </c>
      <c r="G8" s="6">
        <v>0</v>
      </c>
      <c r="H8" s="6">
        <v>0</v>
      </c>
      <c r="I8" s="6">
        <v>0</v>
      </c>
      <c r="J8" s="6">
        <v>0</v>
      </c>
      <c r="K8" s="6">
        <v>0</v>
      </c>
      <c r="L8" s="6" t="s">
        <v>20</v>
      </c>
      <c r="M8" s="12">
        <v>19.829999999999998</v>
      </c>
    </row>
    <row r="9" spans="1:13" x14ac:dyDescent="0.3">
      <c r="A9" s="6">
        <v>8</v>
      </c>
      <c r="B9" s="6">
        <v>2022</v>
      </c>
      <c r="C9" s="6" t="s">
        <v>53</v>
      </c>
      <c r="D9" s="6">
        <v>0</v>
      </c>
      <c r="E9" s="6">
        <v>1</v>
      </c>
      <c r="F9" s="6">
        <v>0</v>
      </c>
      <c r="G9" s="6">
        <v>0</v>
      </c>
      <c r="H9" s="6">
        <v>0</v>
      </c>
      <c r="I9" s="6">
        <v>0</v>
      </c>
      <c r="J9" s="6">
        <v>0</v>
      </c>
      <c r="K9" s="6">
        <v>0</v>
      </c>
      <c r="L9" s="6" t="s">
        <v>20</v>
      </c>
      <c r="M9" s="12">
        <v>17</v>
      </c>
    </row>
    <row r="10" spans="1:13" x14ac:dyDescent="0.3">
      <c r="A10" s="6">
        <v>9</v>
      </c>
      <c r="B10" s="6">
        <v>2022</v>
      </c>
      <c r="C10" s="6" t="s">
        <v>14</v>
      </c>
      <c r="D10" s="6">
        <v>9</v>
      </c>
      <c r="E10" s="6">
        <v>10</v>
      </c>
      <c r="F10" s="6">
        <v>2</v>
      </c>
      <c r="G10" s="6">
        <v>0</v>
      </c>
      <c r="H10" s="6">
        <v>90</v>
      </c>
      <c r="I10" s="6">
        <v>7</v>
      </c>
      <c r="J10" s="6">
        <v>0</v>
      </c>
      <c r="K10" s="6">
        <v>0</v>
      </c>
      <c r="L10" s="6" t="s">
        <v>20</v>
      </c>
      <c r="M10" s="12">
        <v>16</v>
      </c>
    </row>
    <row r="11" spans="1:13" x14ac:dyDescent="0.3">
      <c r="A11" s="6">
        <v>10</v>
      </c>
      <c r="B11" s="6">
        <v>2022</v>
      </c>
      <c r="C11" s="6" t="s">
        <v>59</v>
      </c>
      <c r="D11" s="6">
        <v>58</v>
      </c>
      <c r="E11" s="6">
        <v>53</v>
      </c>
      <c r="F11" s="6">
        <v>6</v>
      </c>
      <c r="G11" s="6">
        <v>1</v>
      </c>
      <c r="H11" s="6">
        <v>109.43</v>
      </c>
      <c r="I11" s="6">
        <v>7</v>
      </c>
      <c r="J11" s="6">
        <v>1</v>
      </c>
      <c r="K11" s="6">
        <v>0</v>
      </c>
      <c r="L11" s="6" t="s">
        <v>20</v>
      </c>
      <c r="M11" s="12">
        <v>20.67</v>
      </c>
    </row>
    <row r="12" spans="1:13" x14ac:dyDescent="0.3">
      <c r="A12" s="6">
        <v>11</v>
      </c>
      <c r="B12" s="6">
        <v>2022</v>
      </c>
      <c r="C12" s="6" t="s">
        <v>15</v>
      </c>
      <c r="D12" s="6">
        <v>30</v>
      </c>
      <c r="E12" s="6">
        <v>33</v>
      </c>
      <c r="F12" s="6">
        <v>3</v>
      </c>
      <c r="G12" s="6">
        <v>1</v>
      </c>
      <c r="H12" s="6">
        <v>90.91</v>
      </c>
      <c r="I12" s="6">
        <v>8</v>
      </c>
      <c r="J12" s="6">
        <v>0</v>
      </c>
      <c r="K12" s="6">
        <v>0</v>
      </c>
      <c r="L12" s="6" t="s">
        <v>20</v>
      </c>
      <c r="M12" s="12">
        <v>21.6</v>
      </c>
    </row>
    <row r="13" spans="1:13" x14ac:dyDescent="0.3">
      <c r="A13" s="6">
        <v>12</v>
      </c>
      <c r="B13" s="6">
        <v>2022</v>
      </c>
      <c r="C13" s="6" t="s">
        <v>53</v>
      </c>
      <c r="D13" s="6">
        <v>0</v>
      </c>
      <c r="E13" s="6">
        <v>1</v>
      </c>
      <c r="F13" s="6">
        <v>0</v>
      </c>
      <c r="G13" s="6">
        <v>0</v>
      </c>
      <c r="H13" s="6">
        <v>0</v>
      </c>
      <c r="I13" s="6">
        <v>0</v>
      </c>
      <c r="J13" s="6">
        <v>0</v>
      </c>
      <c r="K13" s="6">
        <v>0</v>
      </c>
      <c r="L13" s="6" t="s">
        <v>20</v>
      </c>
      <c r="M13" s="12">
        <v>19.64</v>
      </c>
    </row>
    <row r="14" spans="1:13" x14ac:dyDescent="0.3">
      <c r="A14" s="6">
        <v>13</v>
      </c>
      <c r="B14" s="6">
        <v>2022</v>
      </c>
      <c r="C14" s="6" t="s">
        <v>18</v>
      </c>
      <c r="D14" s="6">
        <v>20</v>
      </c>
      <c r="E14" s="6">
        <v>14</v>
      </c>
      <c r="F14" s="6">
        <v>2</v>
      </c>
      <c r="G14" s="6">
        <v>1</v>
      </c>
      <c r="H14" s="6">
        <v>142.86000000000001</v>
      </c>
      <c r="I14" s="6">
        <v>5</v>
      </c>
      <c r="J14" s="6">
        <v>0</v>
      </c>
      <c r="K14" s="6">
        <v>0</v>
      </c>
      <c r="L14" s="6" t="s">
        <v>20</v>
      </c>
      <c r="M14" s="12">
        <v>19.670000000000002</v>
      </c>
    </row>
    <row r="15" spans="1:13" x14ac:dyDescent="0.3">
      <c r="A15" s="6">
        <v>14</v>
      </c>
      <c r="B15" s="6">
        <v>2022</v>
      </c>
      <c r="C15" s="6" t="s">
        <v>59</v>
      </c>
      <c r="D15" s="6">
        <v>73</v>
      </c>
      <c r="E15" s="6">
        <v>54</v>
      </c>
      <c r="F15" s="6">
        <v>8</v>
      </c>
      <c r="G15" s="6">
        <v>2</v>
      </c>
      <c r="H15" s="6">
        <v>135.19</v>
      </c>
      <c r="I15" s="6">
        <v>11</v>
      </c>
      <c r="J15" s="6">
        <v>1</v>
      </c>
      <c r="K15" s="6">
        <v>0</v>
      </c>
      <c r="L15" s="6" t="s">
        <v>20</v>
      </c>
      <c r="M15" s="12">
        <v>23.77</v>
      </c>
    </row>
    <row r="16" spans="1:13" x14ac:dyDescent="0.3">
      <c r="A16" s="6">
        <v>15</v>
      </c>
      <c r="B16" s="6">
        <v>2022</v>
      </c>
      <c r="C16" s="6" t="s">
        <v>58</v>
      </c>
      <c r="D16" s="6">
        <v>25</v>
      </c>
      <c r="E16" s="6">
        <v>24</v>
      </c>
      <c r="F16" s="6">
        <v>2</v>
      </c>
      <c r="G16" s="6">
        <v>0</v>
      </c>
      <c r="H16" s="6">
        <v>104.17</v>
      </c>
      <c r="I16" s="6">
        <v>4</v>
      </c>
      <c r="J16" s="6">
        <v>0</v>
      </c>
      <c r="K16" s="6">
        <v>0</v>
      </c>
      <c r="L16" s="6" t="s">
        <v>20</v>
      </c>
      <c r="M16" s="12">
        <v>23.86</v>
      </c>
    </row>
    <row r="17" spans="1:13" x14ac:dyDescent="0.3">
      <c r="A17" s="6">
        <v>16</v>
      </c>
      <c r="B17" s="6">
        <v>2022</v>
      </c>
      <c r="C17" s="6" t="s">
        <v>14</v>
      </c>
      <c r="D17" s="6">
        <v>7</v>
      </c>
      <c r="E17" s="6">
        <v>8</v>
      </c>
      <c r="F17" s="6">
        <v>0</v>
      </c>
      <c r="G17" s="6">
        <v>1</v>
      </c>
      <c r="H17" s="6">
        <v>87.5</v>
      </c>
      <c r="I17" s="6">
        <v>5</v>
      </c>
      <c r="J17" s="6">
        <v>0</v>
      </c>
      <c r="K17" s="6">
        <v>0</v>
      </c>
      <c r="L17" s="6" t="s">
        <v>20</v>
      </c>
      <c r="M17" s="12">
        <v>22.73</v>
      </c>
    </row>
    <row r="20" spans="1:13" x14ac:dyDescent="0.3">
      <c r="C20" s="17" t="s">
        <v>85</v>
      </c>
      <c r="D20" s="19">
        <f>SUM(D2:D17)/SUM(E2:E17)*100</f>
        <v>115.98639455782313</v>
      </c>
      <c r="L20" s="17" t="s">
        <v>88</v>
      </c>
      <c r="M20">
        <f>M17</f>
        <v>22.73</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82A1B-9491-4862-A55B-D65A21660C9D}">
  <dimension ref="A1:M18"/>
  <sheetViews>
    <sheetView workbookViewId="0">
      <selection activeCell="M19" sqref="M19"/>
    </sheetView>
  </sheetViews>
  <sheetFormatPr defaultRowHeight="14.4" x14ac:dyDescent="0.3"/>
  <cols>
    <col min="2" max="2" width="11.109375" customWidth="1"/>
    <col min="3" max="3" width="10.44140625" customWidth="1"/>
    <col min="9" max="9" width="8.21875" bestFit="1" customWidth="1"/>
  </cols>
  <sheetData>
    <row r="1" spans="1:13" ht="28.8" x14ac:dyDescent="0.3">
      <c r="A1" s="9" t="s">
        <v>21</v>
      </c>
      <c r="B1" s="9" t="s">
        <v>0</v>
      </c>
      <c r="C1" s="9" t="s">
        <v>1</v>
      </c>
      <c r="D1" s="9" t="s">
        <v>2</v>
      </c>
      <c r="E1" s="9" t="s">
        <v>3</v>
      </c>
      <c r="F1" s="9" t="s">
        <v>4</v>
      </c>
      <c r="G1" s="9" t="s">
        <v>5</v>
      </c>
      <c r="H1" s="9" t="s">
        <v>64</v>
      </c>
      <c r="I1" s="9" t="s">
        <v>7</v>
      </c>
      <c r="J1" s="9" t="s">
        <v>8</v>
      </c>
      <c r="K1" s="9" t="s">
        <v>9</v>
      </c>
      <c r="L1" s="9" t="s">
        <v>10</v>
      </c>
      <c r="M1" s="9" t="s">
        <v>11</v>
      </c>
    </row>
    <row r="2" spans="1:13" x14ac:dyDescent="0.3">
      <c r="A2" s="6">
        <v>1</v>
      </c>
      <c r="B2" s="6">
        <v>2023</v>
      </c>
      <c r="C2" s="6" t="s">
        <v>13</v>
      </c>
      <c r="D2" s="6">
        <v>82</v>
      </c>
      <c r="E2" s="6">
        <v>49</v>
      </c>
      <c r="F2" s="6">
        <v>6</v>
      </c>
      <c r="G2" s="6">
        <v>5</v>
      </c>
      <c r="H2" s="6">
        <v>167.35</v>
      </c>
      <c r="I2" s="6">
        <v>15</v>
      </c>
      <c r="J2" s="6">
        <v>1</v>
      </c>
      <c r="K2" s="6">
        <v>0</v>
      </c>
      <c r="L2" s="6" t="s">
        <v>19</v>
      </c>
      <c r="M2" s="6">
        <v>0</v>
      </c>
    </row>
    <row r="3" spans="1:13" x14ac:dyDescent="0.3">
      <c r="A3" s="6">
        <v>2</v>
      </c>
      <c r="B3" s="6">
        <v>2023</v>
      </c>
      <c r="C3" s="6" t="s">
        <v>12</v>
      </c>
      <c r="D3" s="6">
        <v>21</v>
      </c>
      <c r="E3" s="6">
        <v>18</v>
      </c>
      <c r="F3" s="6">
        <v>3</v>
      </c>
      <c r="G3" s="6">
        <v>0</v>
      </c>
      <c r="H3" s="6">
        <v>116.67</v>
      </c>
      <c r="I3" s="6">
        <v>9</v>
      </c>
      <c r="J3" s="6">
        <v>0</v>
      </c>
      <c r="K3" s="6">
        <v>0</v>
      </c>
      <c r="L3" s="6" t="s">
        <v>20</v>
      </c>
      <c r="M3" s="6">
        <v>82</v>
      </c>
    </row>
    <row r="4" spans="1:13" x14ac:dyDescent="0.3">
      <c r="A4" s="6">
        <v>3</v>
      </c>
      <c r="B4" s="6">
        <v>2023</v>
      </c>
      <c r="C4" s="6" t="s">
        <v>58</v>
      </c>
      <c r="D4" s="6">
        <v>61</v>
      </c>
      <c r="E4" s="6">
        <v>44</v>
      </c>
      <c r="F4" s="6">
        <v>4</v>
      </c>
      <c r="G4" s="6">
        <v>4</v>
      </c>
      <c r="H4" s="6">
        <v>138.63999999999999</v>
      </c>
      <c r="I4" s="6">
        <v>16</v>
      </c>
      <c r="J4" s="6">
        <v>1</v>
      </c>
      <c r="K4" s="6">
        <v>0</v>
      </c>
      <c r="L4" s="6" t="s">
        <v>20</v>
      </c>
      <c r="M4" s="6">
        <v>54.33</v>
      </c>
    </row>
    <row r="5" spans="1:13" x14ac:dyDescent="0.3">
      <c r="A5" s="6">
        <v>4</v>
      </c>
      <c r="B5" s="6">
        <v>2023</v>
      </c>
      <c r="C5" s="6" t="s">
        <v>16</v>
      </c>
      <c r="D5" s="6">
        <v>50</v>
      </c>
      <c r="E5" s="6">
        <v>34</v>
      </c>
      <c r="F5" s="6">
        <v>6</v>
      </c>
      <c r="G5" s="6">
        <v>1</v>
      </c>
      <c r="H5" s="6">
        <v>147.06</v>
      </c>
      <c r="I5" s="6">
        <v>9</v>
      </c>
      <c r="J5" s="6">
        <v>1</v>
      </c>
      <c r="K5" s="6">
        <v>0</v>
      </c>
      <c r="L5" s="6" t="s">
        <v>20</v>
      </c>
      <c r="M5" s="6">
        <v>54.33</v>
      </c>
    </row>
    <row r="6" spans="1:13" x14ac:dyDescent="0.3">
      <c r="A6" s="6">
        <v>5</v>
      </c>
      <c r="B6" s="6">
        <v>2023</v>
      </c>
      <c r="C6" s="6" t="s">
        <v>15</v>
      </c>
      <c r="D6" s="6">
        <v>6</v>
      </c>
      <c r="E6" s="6">
        <v>4</v>
      </c>
      <c r="F6" s="6">
        <v>1</v>
      </c>
      <c r="G6" s="6">
        <v>0</v>
      </c>
      <c r="H6" s="6">
        <v>150</v>
      </c>
      <c r="I6" s="6">
        <v>2</v>
      </c>
      <c r="J6" s="6">
        <v>0</v>
      </c>
      <c r="K6" s="6">
        <v>0</v>
      </c>
      <c r="L6" s="6" t="s">
        <v>20</v>
      </c>
      <c r="M6" s="6">
        <v>44.75</v>
      </c>
    </row>
    <row r="7" spans="1:13" x14ac:dyDescent="0.3">
      <c r="A7" s="6">
        <v>6</v>
      </c>
      <c r="B7" s="6">
        <v>2023</v>
      </c>
      <c r="C7" s="6" t="s">
        <v>18</v>
      </c>
      <c r="D7" s="6">
        <v>59</v>
      </c>
      <c r="E7" s="6">
        <v>47</v>
      </c>
      <c r="F7" s="6">
        <v>5</v>
      </c>
      <c r="G7" s="6">
        <v>1</v>
      </c>
      <c r="H7" s="6">
        <v>125.53</v>
      </c>
      <c r="I7" s="6">
        <v>13</v>
      </c>
      <c r="J7" s="6">
        <v>1</v>
      </c>
      <c r="K7" s="6">
        <v>0</v>
      </c>
      <c r="L7" s="6" t="s">
        <v>20</v>
      </c>
      <c r="M7" s="6">
        <v>44.43</v>
      </c>
    </row>
    <row r="8" spans="1:13" x14ac:dyDescent="0.3">
      <c r="A8" s="6">
        <v>7</v>
      </c>
      <c r="B8" s="6">
        <v>2023</v>
      </c>
      <c r="C8" s="6" t="s">
        <v>14</v>
      </c>
      <c r="D8" s="6">
        <v>0</v>
      </c>
      <c r="E8" s="6">
        <v>1</v>
      </c>
      <c r="F8" s="6">
        <v>0</v>
      </c>
      <c r="G8" s="6">
        <v>0</v>
      </c>
      <c r="H8" s="6">
        <v>0</v>
      </c>
      <c r="I8" s="6">
        <v>1</v>
      </c>
      <c r="J8" s="6">
        <v>0</v>
      </c>
      <c r="K8" s="6">
        <v>0</v>
      </c>
      <c r="L8" s="6" t="s">
        <v>20</v>
      </c>
      <c r="M8" s="6">
        <v>40.86</v>
      </c>
    </row>
    <row r="9" spans="1:13" x14ac:dyDescent="0.3">
      <c r="A9" s="6">
        <v>8</v>
      </c>
      <c r="B9" s="6">
        <v>2023</v>
      </c>
      <c r="C9" s="6" t="s">
        <v>12</v>
      </c>
      <c r="D9" s="6">
        <v>54</v>
      </c>
      <c r="E9" s="6">
        <v>37</v>
      </c>
      <c r="F9" s="6">
        <v>6</v>
      </c>
      <c r="G9" s="6">
        <v>0</v>
      </c>
      <c r="H9" s="6">
        <v>145.94999999999999</v>
      </c>
      <c r="I9" s="6">
        <v>5</v>
      </c>
      <c r="J9" s="6">
        <v>1</v>
      </c>
      <c r="K9" s="6">
        <v>0</v>
      </c>
      <c r="L9" s="6" t="s">
        <v>20</v>
      </c>
      <c r="M9" s="6">
        <v>41.13</v>
      </c>
    </row>
    <row r="10" spans="1:13" x14ac:dyDescent="0.3">
      <c r="A10" s="6">
        <v>9</v>
      </c>
      <c r="B10" s="6">
        <v>2023</v>
      </c>
      <c r="C10" s="6" t="s">
        <v>58</v>
      </c>
      <c r="D10" s="6">
        <v>31</v>
      </c>
      <c r="E10" s="6">
        <v>30</v>
      </c>
      <c r="F10" s="6">
        <v>3</v>
      </c>
      <c r="G10" s="6">
        <v>0</v>
      </c>
      <c r="H10" s="6">
        <v>103.33</v>
      </c>
      <c r="I10" s="6">
        <v>9</v>
      </c>
      <c r="J10" s="6">
        <v>0</v>
      </c>
      <c r="K10" s="6">
        <v>0</v>
      </c>
      <c r="L10" s="6" t="s">
        <v>20</v>
      </c>
      <c r="M10" s="6">
        <v>40</v>
      </c>
    </row>
    <row r="11" spans="1:13" x14ac:dyDescent="0.3">
      <c r="A11" s="6">
        <v>10</v>
      </c>
      <c r="B11" s="6">
        <v>2023</v>
      </c>
      <c r="C11" s="6" t="s">
        <v>16</v>
      </c>
      <c r="D11" s="6">
        <v>55</v>
      </c>
      <c r="E11" s="6">
        <v>46</v>
      </c>
      <c r="F11" s="6">
        <v>5</v>
      </c>
      <c r="G11" s="6">
        <v>0</v>
      </c>
      <c r="H11" s="6">
        <v>119.57</v>
      </c>
      <c r="I11" s="6">
        <v>12</v>
      </c>
      <c r="J11" s="6">
        <v>1</v>
      </c>
      <c r="K11" s="6">
        <v>0</v>
      </c>
      <c r="L11" s="6" t="s">
        <v>20</v>
      </c>
      <c r="M11" s="6">
        <v>40.31</v>
      </c>
    </row>
    <row r="12" spans="1:13" x14ac:dyDescent="0.3">
      <c r="A12" s="6">
        <v>11</v>
      </c>
      <c r="B12" s="6">
        <v>2023</v>
      </c>
      <c r="C12" s="6" t="s">
        <v>13</v>
      </c>
      <c r="D12" s="6">
        <v>1</v>
      </c>
      <c r="E12" s="6">
        <v>4</v>
      </c>
      <c r="F12" s="6">
        <v>0</v>
      </c>
      <c r="G12" s="6">
        <v>0</v>
      </c>
      <c r="H12" s="6">
        <v>25</v>
      </c>
      <c r="I12" s="6">
        <v>3</v>
      </c>
      <c r="J12" s="6">
        <v>0</v>
      </c>
      <c r="K12" s="6">
        <v>0</v>
      </c>
      <c r="L12" s="6" t="s">
        <v>20</v>
      </c>
      <c r="M12" s="6">
        <v>36.64</v>
      </c>
    </row>
    <row r="13" spans="1:13" x14ac:dyDescent="0.3">
      <c r="A13" s="6">
        <v>12</v>
      </c>
      <c r="B13" s="6">
        <v>2023</v>
      </c>
      <c r="C13" s="6" t="s">
        <v>14</v>
      </c>
      <c r="D13" s="6">
        <v>18</v>
      </c>
      <c r="E13" s="6">
        <v>19</v>
      </c>
      <c r="F13" s="6">
        <v>1</v>
      </c>
      <c r="G13" s="6">
        <v>0</v>
      </c>
      <c r="H13" s="6">
        <v>94.74</v>
      </c>
      <c r="I13" s="6">
        <v>4</v>
      </c>
      <c r="J13" s="6">
        <v>0</v>
      </c>
      <c r="K13" s="6">
        <v>0</v>
      </c>
      <c r="L13" s="6" t="s">
        <v>20</v>
      </c>
      <c r="M13" s="6">
        <v>35.75</v>
      </c>
    </row>
    <row r="14" spans="1:13" x14ac:dyDescent="0.3">
      <c r="A14" s="6">
        <v>13</v>
      </c>
      <c r="B14" s="6">
        <v>2023</v>
      </c>
      <c r="C14" s="6" t="s">
        <v>53</v>
      </c>
      <c r="D14" s="6">
        <v>100</v>
      </c>
      <c r="E14" s="6">
        <v>63</v>
      </c>
      <c r="F14" s="6">
        <v>12</v>
      </c>
      <c r="G14" s="6">
        <v>4</v>
      </c>
      <c r="H14" s="6">
        <v>158.72999999999999</v>
      </c>
      <c r="I14" s="6">
        <v>22</v>
      </c>
      <c r="J14" s="6">
        <v>0</v>
      </c>
      <c r="K14" s="6">
        <v>1</v>
      </c>
      <c r="L14" s="6" t="s">
        <v>20</v>
      </c>
      <c r="M14" s="6">
        <v>44.07</v>
      </c>
    </row>
    <row r="15" spans="1:13" x14ac:dyDescent="0.3">
      <c r="A15" s="6">
        <v>14</v>
      </c>
      <c r="B15" s="6">
        <v>2023</v>
      </c>
      <c r="C15" s="6" t="s">
        <v>59</v>
      </c>
      <c r="D15" s="6">
        <v>101</v>
      </c>
      <c r="E15" s="6">
        <v>61</v>
      </c>
      <c r="F15" s="6">
        <v>13</v>
      </c>
      <c r="G15" s="6">
        <v>1</v>
      </c>
      <c r="H15" s="6">
        <v>165.57</v>
      </c>
      <c r="I15" s="6">
        <v>10</v>
      </c>
      <c r="J15" s="6">
        <v>0</v>
      </c>
      <c r="K15" s="6">
        <v>1</v>
      </c>
      <c r="L15" s="6" t="s">
        <v>19</v>
      </c>
      <c r="M15" s="6">
        <v>53.25</v>
      </c>
    </row>
    <row r="18" spans="3:13" x14ac:dyDescent="0.3">
      <c r="C18" s="17" t="s">
        <v>85</v>
      </c>
      <c r="D18" s="19">
        <f>SUM(D2:D15)/SUM(E2:E15)*100</f>
        <v>139.8249452954048</v>
      </c>
      <c r="L18" s="17" t="s">
        <v>88</v>
      </c>
      <c r="M18">
        <f>M15</f>
        <v>53.25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8E43A-8B28-4A11-AD38-C9B9C4AAD19A}">
  <dimension ref="A1:M19"/>
  <sheetViews>
    <sheetView workbookViewId="0">
      <selection activeCell="M20" sqref="M20"/>
    </sheetView>
  </sheetViews>
  <sheetFormatPr defaultRowHeight="14.4" x14ac:dyDescent="0.3"/>
  <cols>
    <col min="3" max="3" width="10.44140625" customWidth="1"/>
  </cols>
  <sheetData>
    <row r="1" spans="1:13" ht="28.8" x14ac:dyDescent="0.3">
      <c r="A1" s="9" t="s">
        <v>21</v>
      </c>
      <c r="B1" s="9" t="s">
        <v>0</v>
      </c>
      <c r="C1" s="9" t="s">
        <v>1</v>
      </c>
      <c r="D1" s="9" t="s">
        <v>2</v>
      </c>
      <c r="E1" s="9" t="s">
        <v>3</v>
      </c>
      <c r="F1" s="9" t="s">
        <v>4</v>
      </c>
      <c r="G1" s="9" t="s">
        <v>5</v>
      </c>
      <c r="H1" s="9" t="s">
        <v>6</v>
      </c>
      <c r="I1" s="9" t="s">
        <v>7</v>
      </c>
      <c r="J1" s="9" t="s">
        <v>8</v>
      </c>
      <c r="K1" s="9" t="s">
        <v>9</v>
      </c>
      <c r="L1" s="9" t="s">
        <v>10</v>
      </c>
      <c r="M1" s="9" t="s">
        <v>11</v>
      </c>
    </row>
    <row r="2" spans="1:13" x14ac:dyDescent="0.3">
      <c r="A2" s="6">
        <v>1</v>
      </c>
      <c r="B2" s="6">
        <v>2024</v>
      </c>
      <c r="C2" s="6" t="s">
        <v>15</v>
      </c>
      <c r="D2" s="6">
        <v>21</v>
      </c>
      <c r="E2" s="6">
        <v>20</v>
      </c>
      <c r="F2" s="6">
        <v>0</v>
      </c>
      <c r="G2" s="6">
        <v>1</v>
      </c>
      <c r="H2" s="6">
        <v>105</v>
      </c>
      <c r="I2" s="6">
        <v>6</v>
      </c>
      <c r="J2" s="6">
        <v>0</v>
      </c>
      <c r="K2" s="6">
        <v>0</v>
      </c>
      <c r="L2" s="6" t="s">
        <v>20</v>
      </c>
      <c r="M2" s="6">
        <v>21</v>
      </c>
    </row>
    <row r="3" spans="1:13" x14ac:dyDescent="0.3">
      <c r="A3" s="6">
        <v>2</v>
      </c>
      <c r="B3" s="6">
        <v>2024</v>
      </c>
      <c r="C3" s="6" t="s">
        <v>18</v>
      </c>
      <c r="D3" s="6">
        <v>77</v>
      </c>
      <c r="E3" s="6">
        <v>49</v>
      </c>
      <c r="F3" s="6">
        <v>11</v>
      </c>
      <c r="G3" s="6">
        <v>2</v>
      </c>
      <c r="H3" s="6">
        <v>157.1</v>
      </c>
      <c r="I3" s="6">
        <v>19</v>
      </c>
      <c r="J3" s="6">
        <v>1</v>
      </c>
      <c r="K3" s="6">
        <v>0</v>
      </c>
      <c r="L3" s="6" t="s">
        <v>20</v>
      </c>
      <c r="M3" s="6">
        <v>49</v>
      </c>
    </row>
    <row r="4" spans="1:13" x14ac:dyDescent="0.3">
      <c r="A4" s="6">
        <v>3</v>
      </c>
      <c r="B4" s="6">
        <v>2024</v>
      </c>
      <c r="C4" s="6" t="s">
        <v>12</v>
      </c>
      <c r="D4" s="6">
        <v>83</v>
      </c>
      <c r="E4" s="6">
        <v>59</v>
      </c>
      <c r="F4" s="6">
        <v>4</v>
      </c>
      <c r="G4" s="6">
        <v>4</v>
      </c>
      <c r="H4" s="6">
        <v>140.69999999999999</v>
      </c>
      <c r="I4" s="6">
        <v>16</v>
      </c>
      <c r="J4" s="6">
        <v>1</v>
      </c>
      <c r="K4" s="6">
        <v>0</v>
      </c>
      <c r="L4" s="6" t="s">
        <v>19</v>
      </c>
      <c r="M4" s="6">
        <v>80.5</v>
      </c>
    </row>
    <row r="5" spans="1:13" x14ac:dyDescent="0.3">
      <c r="A5" s="6">
        <v>4</v>
      </c>
      <c r="B5" s="6">
        <v>2024</v>
      </c>
      <c r="C5" s="6" t="s">
        <v>58</v>
      </c>
      <c r="D5" s="6">
        <v>22</v>
      </c>
      <c r="E5" s="6">
        <v>16</v>
      </c>
      <c r="F5" s="6">
        <v>2</v>
      </c>
      <c r="G5" s="6">
        <v>1</v>
      </c>
      <c r="H5" s="6">
        <v>137.5</v>
      </c>
      <c r="I5" s="6">
        <v>6</v>
      </c>
      <c r="J5" s="6">
        <v>0</v>
      </c>
      <c r="K5" s="6">
        <v>0</v>
      </c>
      <c r="L5" s="6" t="s">
        <v>20</v>
      </c>
      <c r="M5" s="6">
        <v>62</v>
      </c>
    </row>
    <row r="6" spans="1:13" x14ac:dyDescent="0.3">
      <c r="A6" s="6">
        <v>5</v>
      </c>
      <c r="B6" s="6">
        <v>2024</v>
      </c>
      <c r="C6" s="6" t="s">
        <v>14</v>
      </c>
      <c r="D6" s="6">
        <v>113</v>
      </c>
      <c r="E6" s="6">
        <v>72</v>
      </c>
      <c r="F6" s="6">
        <v>12</v>
      </c>
      <c r="G6" s="6">
        <v>4</v>
      </c>
      <c r="H6" s="6">
        <v>156.9</v>
      </c>
      <c r="I6" s="6">
        <v>20</v>
      </c>
      <c r="J6" s="6">
        <v>0</v>
      </c>
      <c r="K6" s="6">
        <v>1</v>
      </c>
      <c r="L6" s="6" t="s">
        <v>19</v>
      </c>
      <c r="M6" s="6">
        <v>79.5</v>
      </c>
    </row>
    <row r="7" spans="1:13" x14ac:dyDescent="0.3">
      <c r="A7" s="6">
        <v>6</v>
      </c>
      <c r="B7" s="6">
        <v>2024</v>
      </c>
      <c r="C7" s="6" t="s">
        <v>13</v>
      </c>
      <c r="D7" s="6">
        <v>3</v>
      </c>
      <c r="E7" s="6">
        <v>9</v>
      </c>
      <c r="F7" s="6">
        <v>0</v>
      </c>
      <c r="G7" s="6">
        <v>0</v>
      </c>
      <c r="H7" s="6">
        <v>33.299999999999997</v>
      </c>
      <c r="I7" s="6">
        <v>6</v>
      </c>
      <c r="J7" s="6">
        <v>0</v>
      </c>
      <c r="K7" s="6">
        <v>0</v>
      </c>
      <c r="L7" s="6" t="s">
        <v>20</v>
      </c>
      <c r="M7" s="6">
        <v>64</v>
      </c>
    </row>
    <row r="8" spans="1:13" x14ac:dyDescent="0.3">
      <c r="A8" s="6">
        <v>7</v>
      </c>
      <c r="B8" s="6">
        <v>2024</v>
      </c>
      <c r="C8" s="6" t="s">
        <v>53</v>
      </c>
      <c r="D8" s="6">
        <v>42</v>
      </c>
      <c r="E8" s="6">
        <v>20</v>
      </c>
      <c r="F8" s="6">
        <v>6</v>
      </c>
      <c r="G8" s="6">
        <v>2</v>
      </c>
      <c r="H8" s="6">
        <v>210</v>
      </c>
      <c r="I8" s="6">
        <v>7</v>
      </c>
      <c r="J8" s="6">
        <v>0</v>
      </c>
      <c r="K8" s="6">
        <v>0</v>
      </c>
      <c r="L8" s="6" t="s">
        <v>20</v>
      </c>
      <c r="M8" s="6">
        <v>61.86</v>
      </c>
    </row>
    <row r="9" spans="1:13" x14ac:dyDescent="0.3">
      <c r="A9" s="6">
        <v>8</v>
      </c>
      <c r="B9" s="6">
        <v>2024</v>
      </c>
      <c r="C9" s="6" t="s">
        <v>12</v>
      </c>
      <c r="D9" s="6">
        <v>18</v>
      </c>
      <c r="E9" s="6">
        <v>7</v>
      </c>
      <c r="F9" s="6">
        <v>1</v>
      </c>
      <c r="G9" s="6">
        <v>2</v>
      </c>
      <c r="H9" s="6">
        <v>257.10000000000002</v>
      </c>
      <c r="I9" s="6">
        <v>2</v>
      </c>
      <c r="J9" s="6">
        <v>0</v>
      </c>
      <c r="K9" s="6">
        <v>0</v>
      </c>
      <c r="L9" s="6" t="s">
        <v>20</v>
      </c>
      <c r="M9" s="6">
        <v>60.88</v>
      </c>
    </row>
    <row r="10" spans="1:13" x14ac:dyDescent="0.3">
      <c r="A10" s="6">
        <v>9</v>
      </c>
      <c r="B10" s="6">
        <v>2024</v>
      </c>
      <c r="C10" s="6" t="s">
        <v>53</v>
      </c>
      <c r="D10" s="6">
        <v>51</v>
      </c>
      <c r="E10" s="6">
        <v>43</v>
      </c>
      <c r="F10" s="6">
        <v>4</v>
      </c>
      <c r="G10" s="6">
        <v>1</v>
      </c>
      <c r="H10" s="6">
        <v>118.6</v>
      </c>
      <c r="I10" s="6">
        <v>11</v>
      </c>
      <c r="J10" s="6">
        <v>1</v>
      </c>
      <c r="K10" s="6">
        <v>0</v>
      </c>
      <c r="L10" s="6" t="s">
        <v>20</v>
      </c>
      <c r="M10" s="6">
        <v>60.1</v>
      </c>
    </row>
    <row r="11" spans="1:13" x14ac:dyDescent="0.3">
      <c r="A11" s="6">
        <v>10</v>
      </c>
      <c r="B11" s="6">
        <v>2024</v>
      </c>
      <c r="C11" s="6" t="s">
        <v>59</v>
      </c>
      <c r="D11" s="6">
        <v>70</v>
      </c>
      <c r="E11" s="6">
        <v>44</v>
      </c>
      <c r="F11" s="6">
        <v>6</v>
      </c>
      <c r="G11" s="6">
        <v>3</v>
      </c>
      <c r="H11" s="6">
        <v>159.1</v>
      </c>
      <c r="I11" s="6">
        <v>10</v>
      </c>
      <c r="J11" s="6">
        <v>1</v>
      </c>
      <c r="K11" s="6">
        <v>0</v>
      </c>
      <c r="L11" s="6" t="s">
        <v>19</v>
      </c>
      <c r="M11" s="6">
        <v>63.27</v>
      </c>
    </row>
    <row r="12" spans="1:13" x14ac:dyDescent="0.3">
      <c r="A12" s="6">
        <v>11</v>
      </c>
      <c r="B12" s="6">
        <v>2024</v>
      </c>
      <c r="C12" s="6" t="s">
        <v>59</v>
      </c>
      <c r="D12" s="6">
        <v>42</v>
      </c>
      <c r="E12" s="6">
        <v>27</v>
      </c>
      <c r="F12" s="6">
        <v>2</v>
      </c>
      <c r="G12" s="6">
        <v>4</v>
      </c>
      <c r="H12" s="6">
        <v>155.6</v>
      </c>
      <c r="I12" s="6">
        <v>11</v>
      </c>
      <c r="J12" s="6">
        <v>0</v>
      </c>
      <c r="K12" s="6">
        <v>0</v>
      </c>
      <c r="L12" s="6" t="s">
        <v>20</v>
      </c>
      <c r="M12" s="6">
        <v>61.92</v>
      </c>
    </row>
    <row r="13" spans="1:13" x14ac:dyDescent="0.3">
      <c r="A13" s="6">
        <v>12</v>
      </c>
      <c r="B13" s="6">
        <v>2024</v>
      </c>
      <c r="C13" s="6" t="s">
        <v>18</v>
      </c>
      <c r="D13" s="6">
        <v>92</v>
      </c>
      <c r="E13" s="6">
        <v>47</v>
      </c>
      <c r="F13" s="6">
        <v>7</v>
      </c>
      <c r="G13" s="6">
        <v>6</v>
      </c>
      <c r="H13" s="6">
        <v>195.7</v>
      </c>
      <c r="I13" s="6">
        <v>11</v>
      </c>
      <c r="J13" s="6">
        <v>1</v>
      </c>
      <c r="K13" s="6">
        <v>0</v>
      </c>
      <c r="L13" s="6" t="s">
        <v>20</v>
      </c>
      <c r="M13" s="6">
        <v>64.36</v>
      </c>
    </row>
    <row r="14" spans="1:13" x14ac:dyDescent="0.3">
      <c r="A14" s="6">
        <v>13</v>
      </c>
      <c r="B14" s="6">
        <v>2024</v>
      </c>
      <c r="C14" s="6" t="s">
        <v>16</v>
      </c>
      <c r="D14" s="6">
        <v>27</v>
      </c>
      <c r="E14" s="6">
        <v>13</v>
      </c>
      <c r="F14" s="6">
        <v>1</v>
      </c>
      <c r="G14" s="6">
        <v>3</v>
      </c>
      <c r="H14" s="6">
        <v>207.7</v>
      </c>
      <c r="I14" s="6">
        <v>5</v>
      </c>
      <c r="J14" s="6">
        <v>0</v>
      </c>
      <c r="K14" s="6">
        <v>0</v>
      </c>
      <c r="L14" s="6" t="s">
        <v>20</v>
      </c>
      <c r="M14" s="6">
        <v>63.73</v>
      </c>
    </row>
    <row r="15" spans="1:13" x14ac:dyDescent="0.3">
      <c r="A15" s="6">
        <v>14</v>
      </c>
      <c r="B15" s="6">
        <v>2024</v>
      </c>
      <c r="C15" s="6" t="s">
        <v>15</v>
      </c>
      <c r="D15" s="6">
        <v>47</v>
      </c>
      <c r="E15" s="6">
        <v>29</v>
      </c>
      <c r="F15" s="6">
        <v>3</v>
      </c>
      <c r="G15" s="6">
        <v>4</v>
      </c>
      <c r="H15" s="6">
        <v>162.1</v>
      </c>
      <c r="I15" s="6">
        <v>11</v>
      </c>
      <c r="J15" s="6">
        <v>0</v>
      </c>
      <c r="K15" s="6">
        <v>0</v>
      </c>
      <c r="L15" s="6" t="s">
        <v>20</v>
      </c>
      <c r="M15" s="6">
        <v>62.92</v>
      </c>
    </row>
    <row r="16" spans="1:13" x14ac:dyDescent="0.3">
      <c r="A16" s="6">
        <v>15</v>
      </c>
      <c r="B16" s="6">
        <v>2024</v>
      </c>
      <c r="C16" s="6" t="s">
        <v>14</v>
      </c>
      <c r="D16" s="6">
        <v>33</v>
      </c>
      <c r="E16" s="6">
        <v>24</v>
      </c>
      <c r="F16" s="6">
        <v>3</v>
      </c>
      <c r="G16" s="6">
        <v>1</v>
      </c>
      <c r="H16" s="6">
        <v>137.5</v>
      </c>
      <c r="I16" s="6">
        <v>7</v>
      </c>
      <c r="J16" s="6">
        <v>0</v>
      </c>
      <c r="K16" s="6">
        <v>0</v>
      </c>
      <c r="L16" s="6" t="s">
        <v>20</v>
      </c>
      <c r="M16" s="6">
        <v>61.75</v>
      </c>
    </row>
    <row r="19" spans="3:13" x14ac:dyDescent="0.3">
      <c r="C19" s="17" t="s">
        <v>85</v>
      </c>
      <c r="D19" s="19">
        <f>SUM(D2:D16)/SUM(E2:E16)*100</f>
        <v>154.69728601252609</v>
      </c>
      <c r="L19" s="17" t="s">
        <v>88</v>
      </c>
      <c r="M19">
        <f>M16</f>
        <v>61.75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CF55-FCC9-49FF-8845-454F33D07A13}">
  <dimension ref="A1:M19"/>
  <sheetViews>
    <sheetView topLeftCell="B1" workbookViewId="0">
      <selection activeCell="M20" sqref="M20"/>
    </sheetView>
  </sheetViews>
  <sheetFormatPr defaultRowHeight="14.4" x14ac:dyDescent="0.3"/>
  <cols>
    <col min="1" max="1" width="8.88671875" customWidth="1"/>
    <col min="2" max="2" width="10.44140625" customWidth="1"/>
    <col min="3" max="3" width="10.5546875" customWidth="1"/>
  </cols>
  <sheetData>
    <row r="1" spans="1:13" ht="28.8" x14ac:dyDescent="0.3">
      <c r="A1" s="9" t="s">
        <v>21</v>
      </c>
      <c r="B1" s="9" t="s">
        <v>0</v>
      </c>
      <c r="C1" s="9" t="s">
        <v>1</v>
      </c>
      <c r="D1" s="9" t="s">
        <v>2</v>
      </c>
      <c r="E1" s="9" t="s">
        <v>3</v>
      </c>
      <c r="F1" s="9" t="s">
        <v>4</v>
      </c>
      <c r="G1" s="9" t="s">
        <v>5</v>
      </c>
      <c r="H1" s="9" t="s">
        <v>6</v>
      </c>
      <c r="I1" s="9" t="s">
        <v>7</v>
      </c>
      <c r="J1" s="9" t="s">
        <v>8</v>
      </c>
      <c r="K1" s="9" t="s">
        <v>9</v>
      </c>
      <c r="L1" s="9" t="s">
        <v>10</v>
      </c>
      <c r="M1" s="9" t="s">
        <v>69</v>
      </c>
    </row>
    <row r="2" spans="1:13" x14ac:dyDescent="0.3">
      <c r="A2" s="6">
        <v>1</v>
      </c>
      <c r="B2" s="6">
        <v>2025</v>
      </c>
      <c r="C2" s="6" t="s">
        <v>12</v>
      </c>
      <c r="D2" s="6">
        <v>59</v>
      </c>
      <c r="E2" s="6">
        <v>36</v>
      </c>
      <c r="F2" s="6">
        <v>5</v>
      </c>
      <c r="G2" s="6">
        <v>1</v>
      </c>
      <c r="H2" s="6">
        <v>163.89</v>
      </c>
      <c r="I2" s="6">
        <v>8</v>
      </c>
      <c r="J2" s="6">
        <v>1</v>
      </c>
      <c r="K2" s="6">
        <v>0</v>
      </c>
      <c r="L2" s="6" t="s">
        <v>19</v>
      </c>
      <c r="M2" s="6">
        <v>59</v>
      </c>
    </row>
    <row r="3" spans="1:13" x14ac:dyDescent="0.3">
      <c r="A3" s="6">
        <v>2</v>
      </c>
      <c r="B3" s="6">
        <v>2025</v>
      </c>
      <c r="C3" s="6" t="s">
        <v>15</v>
      </c>
      <c r="D3" s="6">
        <v>31</v>
      </c>
      <c r="E3" s="6">
        <v>30</v>
      </c>
      <c r="F3" s="6">
        <v>2</v>
      </c>
      <c r="G3" s="6">
        <v>1</v>
      </c>
      <c r="H3" s="6">
        <v>103.33</v>
      </c>
      <c r="I3" s="6">
        <v>11</v>
      </c>
      <c r="J3" s="6">
        <v>0</v>
      </c>
      <c r="K3" s="6">
        <v>0</v>
      </c>
      <c r="L3" s="6" t="s">
        <v>20</v>
      </c>
      <c r="M3" s="6">
        <v>90</v>
      </c>
    </row>
    <row r="4" spans="1:13" x14ac:dyDescent="0.3">
      <c r="A4" s="6">
        <v>3</v>
      </c>
      <c r="B4" s="6">
        <v>2025</v>
      </c>
      <c r="C4" s="6" t="s">
        <v>59</v>
      </c>
      <c r="D4" s="6">
        <v>7</v>
      </c>
      <c r="E4" s="6">
        <v>6</v>
      </c>
      <c r="F4" s="6">
        <v>1</v>
      </c>
      <c r="G4" s="6">
        <v>0</v>
      </c>
      <c r="H4" s="6">
        <v>116.67</v>
      </c>
      <c r="I4" s="6">
        <v>2</v>
      </c>
      <c r="J4" s="6">
        <v>0</v>
      </c>
      <c r="K4" s="6">
        <v>0</v>
      </c>
      <c r="L4" s="6" t="s">
        <v>20</v>
      </c>
      <c r="M4" s="6">
        <v>48.5</v>
      </c>
    </row>
    <row r="5" spans="1:13" x14ac:dyDescent="0.3">
      <c r="A5" s="6">
        <v>4</v>
      </c>
      <c r="B5" s="6">
        <v>2025</v>
      </c>
      <c r="C5" s="6" t="s">
        <v>13</v>
      </c>
      <c r="D5" s="6">
        <v>67</v>
      </c>
      <c r="E5" s="6">
        <v>42</v>
      </c>
      <c r="F5" s="6">
        <v>8</v>
      </c>
      <c r="G5" s="6">
        <v>2</v>
      </c>
      <c r="H5" s="6">
        <v>159.52000000000001</v>
      </c>
      <c r="I5" s="6">
        <v>11</v>
      </c>
      <c r="J5" s="6">
        <v>1</v>
      </c>
      <c r="K5" s="6">
        <v>0</v>
      </c>
      <c r="L5" s="6" t="s">
        <v>20</v>
      </c>
      <c r="M5" s="6">
        <v>54.67</v>
      </c>
    </row>
    <row r="6" spans="1:13" x14ac:dyDescent="0.3">
      <c r="A6" s="6">
        <v>5</v>
      </c>
      <c r="B6" s="6">
        <v>2025</v>
      </c>
      <c r="C6" s="6" t="s">
        <v>16</v>
      </c>
      <c r="D6" s="6">
        <v>22</v>
      </c>
      <c r="E6" s="6">
        <v>14</v>
      </c>
      <c r="F6" s="6">
        <v>1</v>
      </c>
      <c r="G6" s="6">
        <v>2</v>
      </c>
      <c r="H6" s="6">
        <v>157.13999999999999</v>
      </c>
      <c r="I6" s="6">
        <v>2</v>
      </c>
      <c r="J6" s="6">
        <v>0</v>
      </c>
      <c r="K6" s="6">
        <v>0</v>
      </c>
      <c r="L6" s="6" t="s">
        <v>20</v>
      </c>
      <c r="M6" s="6">
        <v>46.5</v>
      </c>
    </row>
    <row r="7" spans="1:13" x14ac:dyDescent="0.3">
      <c r="A7" s="6">
        <v>6</v>
      </c>
      <c r="B7" s="6">
        <v>2025</v>
      </c>
      <c r="C7" s="6" t="s">
        <v>14</v>
      </c>
      <c r="D7" s="6">
        <v>62</v>
      </c>
      <c r="E7" s="6">
        <v>45</v>
      </c>
      <c r="F7" s="6">
        <v>4</v>
      </c>
      <c r="G7" s="6">
        <v>2</v>
      </c>
      <c r="H7" s="6">
        <v>137.78</v>
      </c>
      <c r="I7" s="6">
        <v>13</v>
      </c>
      <c r="J7" s="6">
        <v>1</v>
      </c>
      <c r="K7" s="6">
        <v>0</v>
      </c>
      <c r="L7" s="6" t="s">
        <v>19</v>
      </c>
      <c r="M7" s="6">
        <v>62</v>
      </c>
    </row>
    <row r="8" spans="1:13" x14ac:dyDescent="0.3">
      <c r="A8" s="6">
        <v>7</v>
      </c>
      <c r="B8" s="6">
        <v>2025</v>
      </c>
      <c r="C8" s="6" t="s">
        <v>18</v>
      </c>
      <c r="D8" s="6">
        <v>1</v>
      </c>
      <c r="E8" s="6">
        <v>3</v>
      </c>
      <c r="F8" s="6">
        <v>0</v>
      </c>
      <c r="G8" s="6">
        <v>0</v>
      </c>
      <c r="H8" s="6">
        <v>33.33</v>
      </c>
      <c r="I8" s="6">
        <v>1</v>
      </c>
      <c r="J8" s="6">
        <v>0</v>
      </c>
      <c r="K8" s="6">
        <v>0</v>
      </c>
      <c r="L8" s="6" t="s">
        <v>20</v>
      </c>
      <c r="M8" s="6">
        <v>49.8</v>
      </c>
    </row>
    <row r="9" spans="1:13" x14ac:dyDescent="0.3">
      <c r="A9" s="6">
        <v>8</v>
      </c>
      <c r="B9" s="6">
        <v>2025</v>
      </c>
      <c r="C9" s="6" t="s">
        <v>18</v>
      </c>
      <c r="D9" s="6">
        <v>73</v>
      </c>
      <c r="E9" s="6">
        <v>54</v>
      </c>
      <c r="F9" s="6">
        <v>7</v>
      </c>
      <c r="G9" s="6">
        <v>1</v>
      </c>
      <c r="H9" s="6">
        <v>135.19</v>
      </c>
      <c r="I9" s="6">
        <v>12</v>
      </c>
      <c r="J9" s="6">
        <v>1</v>
      </c>
      <c r="K9" s="6">
        <v>0</v>
      </c>
      <c r="L9" s="6" t="s">
        <v>19</v>
      </c>
      <c r="M9" s="6">
        <v>64.400000000000006</v>
      </c>
    </row>
    <row r="10" spans="1:13" x14ac:dyDescent="0.3">
      <c r="A10" s="6">
        <v>9</v>
      </c>
      <c r="B10" s="6">
        <v>2025</v>
      </c>
      <c r="C10" s="6" t="s">
        <v>14</v>
      </c>
      <c r="D10" s="6">
        <v>70</v>
      </c>
      <c r="E10" s="6">
        <v>42</v>
      </c>
      <c r="F10" s="6">
        <v>8</v>
      </c>
      <c r="G10" s="6">
        <v>2</v>
      </c>
      <c r="H10" s="6">
        <v>166.67</v>
      </c>
      <c r="I10" s="6">
        <v>10</v>
      </c>
      <c r="J10" s="6">
        <v>1</v>
      </c>
      <c r="K10" s="6">
        <v>0</v>
      </c>
      <c r="L10" s="6" t="s">
        <v>20</v>
      </c>
      <c r="M10" s="6">
        <v>65.33</v>
      </c>
    </row>
    <row r="11" spans="1:13" x14ac:dyDescent="0.3">
      <c r="A11" s="6">
        <v>10</v>
      </c>
      <c r="B11" s="6">
        <v>2025</v>
      </c>
      <c r="C11" s="6" t="s">
        <v>16</v>
      </c>
      <c r="D11" s="6">
        <v>51</v>
      </c>
      <c r="E11" s="6">
        <v>47</v>
      </c>
      <c r="F11" s="6">
        <v>4</v>
      </c>
      <c r="G11" s="6">
        <v>0</v>
      </c>
      <c r="H11" s="6">
        <v>108.51</v>
      </c>
      <c r="I11" s="6">
        <v>14</v>
      </c>
      <c r="J11" s="6">
        <v>1</v>
      </c>
      <c r="K11" s="6">
        <v>0</v>
      </c>
      <c r="L11" s="6" t="s">
        <v>20</v>
      </c>
      <c r="M11" s="6">
        <v>63.29</v>
      </c>
    </row>
    <row r="12" spans="1:13" x14ac:dyDescent="0.3">
      <c r="A12" s="6">
        <v>11</v>
      </c>
      <c r="B12" s="6">
        <v>2025</v>
      </c>
      <c r="C12" s="6" t="s">
        <v>15</v>
      </c>
      <c r="D12" s="6">
        <v>62</v>
      </c>
      <c r="E12" s="6">
        <v>33</v>
      </c>
      <c r="F12" s="6">
        <v>5</v>
      </c>
      <c r="G12" s="6">
        <v>5</v>
      </c>
      <c r="H12" s="6">
        <v>187.88</v>
      </c>
      <c r="I12" s="6">
        <v>3</v>
      </c>
      <c r="J12" s="6">
        <v>1</v>
      </c>
      <c r="K12" s="6">
        <v>0</v>
      </c>
      <c r="L12" s="6" t="s">
        <v>20</v>
      </c>
      <c r="M12" s="6">
        <v>63.12</v>
      </c>
    </row>
    <row r="13" spans="1:13" x14ac:dyDescent="0.3">
      <c r="A13" s="6">
        <v>12</v>
      </c>
      <c r="B13" s="6">
        <v>2025</v>
      </c>
      <c r="C13" s="6" t="s">
        <v>53</v>
      </c>
      <c r="D13" s="6">
        <v>43</v>
      </c>
      <c r="E13" s="6">
        <v>25</v>
      </c>
      <c r="F13" s="6">
        <v>7</v>
      </c>
      <c r="G13" s="6">
        <v>1</v>
      </c>
      <c r="H13" s="6">
        <v>172</v>
      </c>
      <c r="I13" s="6">
        <v>6</v>
      </c>
      <c r="J13" s="6">
        <v>0</v>
      </c>
      <c r="K13" s="6">
        <v>0</v>
      </c>
      <c r="L13" s="6" t="s">
        <v>20</v>
      </c>
      <c r="M13" s="6">
        <v>60.89</v>
      </c>
    </row>
    <row r="14" spans="1:13" x14ac:dyDescent="0.3">
      <c r="A14" s="6">
        <v>13</v>
      </c>
      <c r="B14" s="6">
        <v>2025</v>
      </c>
      <c r="C14" s="6" t="s">
        <v>58</v>
      </c>
      <c r="D14" s="6">
        <v>54</v>
      </c>
      <c r="E14" s="6">
        <v>30</v>
      </c>
      <c r="F14" s="6">
        <v>10</v>
      </c>
      <c r="G14" s="6">
        <v>0</v>
      </c>
      <c r="H14" s="6">
        <v>180</v>
      </c>
      <c r="I14" s="6">
        <v>15</v>
      </c>
      <c r="J14" s="6">
        <v>1</v>
      </c>
      <c r="K14" s="6">
        <v>0</v>
      </c>
      <c r="L14" s="6" t="s">
        <v>20</v>
      </c>
      <c r="M14" s="6">
        <v>60.2</v>
      </c>
    </row>
    <row r="15" spans="1:13" x14ac:dyDescent="0.3">
      <c r="A15" s="6">
        <v>14</v>
      </c>
      <c r="B15" s="6">
        <v>2025</v>
      </c>
      <c r="C15" s="6" t="s">
        <v>18</v>
      </c>
      <c r="D15" s="6">
        <v>12</v>
      </c>
      <c r="E15" s="6">
        <v>12</v>
      </c>
      <c r="F15" s="6">
        <v>2</v>
      </c>
      <c r="G15" s="6">
        <v>0</v>
      </c>
      <c r="H15" s="6">
        <v>100</v>
      </c>
      <c r="I15" s="6">
        <v>6</v>
      </c>
      <c r="J15" s="6">
        <v>0</v>
      </c>
      <c r="K15" s="6">
        <v>0</v>
      </c>
      <c r="L15" s="6" t="s">
        <v>20</v>
      </c>
      <c r="M15" s="6">
        <v>55.82</v>
      </c>
    </row>
    <row r="16" spans="1:13" x14ac:dyDescent="0.3">
      <c r="A16" s="6">
        <v>15</v>
      </c>
      <c r="B16" s="6">
        <v>2025</v>
      </c>
      <c r="C16" s="6" t="s">
        <v>18</v>
      </c>
      <c r="D16" s="6">
        <v>43</v>
      </c>
      <c r="E16" s="6">
        <v>35</v>
      </c>
      <c r="F16" s="6">
        <v>3</v>
      </c>
      <c r="G16" s="6">
        <v>0</v>
      </c>
      <c r="H16" s="6">
        <v>122.86</v>
      </c>
      <c r="I16" s="6">
        <v>9</v>
      </c>
      <c r="J16" s="6">
        <v>0</v>
      </c>
      <c r="K16" s="6">
        <v>0</v>
      </c>
      <c r="L16" s="6" t="s">
        <v>20</v>
      </c>
      <c r="M16" s="6">
        <v>54.75</v>
      </c>
    </row>
    <row r="19" spans="3:13" x14ac:dyDescent="0.3">
      <c r="C19" s="17" t="s">
        <v>85</v>
      </c>
      <c r="D19" s="19">
        <f>SUM(D2:D16)/SUM(E2:E16)*100</f>
        <v>144.7136563876652</v>
      </c>
      <c r="L19" s="17" t="s">
        <v>88</v>
      </c>
      <c r="M19">
        <f>M16</f>
        <v>54.75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630F-884E-461A-AFC6-856526690F57}">
  <dimension ref="A1:M263"/>
  <sheetViews>
    <sheetView tabSelected="1" topLeftCell="A236" workbookViewId="0">
      <selection activeCell="E263" sqref="E263"/>
    </sheetView>
  </sheetViews>
  <sheetFormatPr defaultRowHeight="14.4" x14ac:dyDescent="0.3"/>
  <cols>
    <col min="1" max="1" width="16.44140625" customWidth="1"/>
    <col min="2" max="2" width="7.6640625" customWidth="1"/>
    <col min="3" max="3" width="13.5546875" customWidth="1"/>
    <col min="4" max="4" width="8" customWidth="1"/>
    <col min="5" max="5" width="7.88671875" customWidth="1"/>
    <col min="6" max="7" width="5.21875" customWidth="1"/>
    <col min="8" max="8" width="7" bestFit="1" customWidth="1"/>
    <col min="9" max="9" width="12.33203125" customWidth="1"/>
    <col min="10" max="10" width="6.5546875" customWidth="1"/>
    <col min="11" max="11" width="7.88671875" customWidth="1"/>
    <col min="12" max="12" width="16.44140625" customWidth="1"/>
    <col min="13" max="13" width="19.88671875" customWidth="1"/>
  </cols>
  <sheetData>
    <row r="1" spans="1:13" ht="18" x14ac:dyDescent="0.3">
      <c r="A1" s="26" t="s">
        <v>62</v>
      </c>
      <c r="B1" s="27" t="s">
        <v>61</v>
      </c>
      <c r="C1" s="27" t="s">
        <v>1</v>
      </c>
      <c r="D1" s="27" t="s">
        <v>2</v>
      </c>
      <c r="E1" s="27" t="s">
        <v>3</v>
      </c>
      <c r="F1" s="27" t="s">
        <v>4</v>
      </c>
      <c r="G1" s="27" t="s">
        <v>5</v>
      </c>
      <c r="H1" s="27" t="s">
        <v>6</v>
      </c>
      <c r="I1" s="27" t="s">
        <v>7</v>
      </c>
      <c r="J1" s="27" t="s">
        <v>8</v>
      </c>
      <c r="K1" s="27" t="s">
        <v>9</v>
      </c>
      <c r="L1" s="27" t="s">
        <v>10</v>
      </c>
      <c r="M1" s="28" t="s">
        <v>11</v>
      </c>
    </row>
    <row r="2" spans="1:13" x14ac:dyDescent="0.3">
      <c r="A2" s="21">
        <v>1</v>
      </c>
      <c r="B2" s="1">
        <v>2008</v>
      </c>
      <c r="C2" s="1" t="s">
        <v>12</v>
      </c>
      <c r="D2" s="1">
        <v>1</v>
      </c>
      <c r="E2" s="1">
        <v>5</v>
      </c>
      <c r="F2" s="1">
        <v>0</v>
      </c>
      <c r="G2" s="1">
        <v>0</v>
      </c>
      <c r="H2" s="1">
        <v>20</v>
      </c>
      <c r="I2" s="1">
        <v>4</v>
      </c>
      <c r="J2" s="1">
        <v>0</v>
      </c>
      <c r="K2" s="1">
        <v>0</v>
      </c>
      <c r="L2" s="1" t="s">
        <v>20</v>
      </c>
      <c r="M2" s="22">
        <v>1</v>
      </c>
    </row>
    <row r="3" spans="1:13" x14ac:dyDescent="0.3">
      <c r="A3" s="21">
        <v>2</v>
      </c>
      <c r="B3" s="1">
        <v>2008</v>
      </c>
      <c r="C3" s="1" t="s">
        <v>13</v>
      </c>
      <c r="D3" s="1">
        <v>23</v>
      </c>
      <c r="E3" s="1">
        <v>14</v>
      </c>
      <c r="F3" s="1">
        <v>3</v>
      </c>
      <c r="G3" s="1">
        <v>1</v>
      </c>
      <c r="H3" s="1">
        <v>164.29</v>
      </c>
      <c r="I3" s="1">
        <v>10</v>
      </c>
      <c r="J3" s="1">
        <v>0</v>
      </c>
      <c r="K3" s="1">
        <v>0</v>
      </c>
      <c r="L3" s="1" t="s">
        <v>20</v>
      </c>
      <c r="M3" s="22">
        <v>12</v>
      </c>
    </row>
    <row r="4" spans="1:13" x14ac:dyDescent="0.3">
      <c r="A4" s="21">
        <v>3</v>
      </c>
      <c r="B4" s="1">
        <v>2008</v>
      </c>
      <c r="C4" s="1" t="s">
        <v>14</v>
      </c>
      <c r="D4" s="1">
        <v>13</v>
      </c>
      <c r="E4" s="1">
        <v>14</v>
      </c>
      <c r="F4" s="1">
        <v>0</v>
      </c>
      <c r="G4" s="1">
        <v>1</v>
      </c>
      <c r="H4" s="1">
        <v>92.86</v>
      </c>
      <c r="I4" s="1">
        <v>13</v>
      </c>
      <c r="J4" s="1">
        <v>0</v>
      </c>
      <c r="K4" s="1">
        <v>0</v>
      </c>
      <c r="L4" s="1" t="s">
        <v>20</v>
      </c>
      <c r="M4" s="22">
        <v>12.33</v>
      </c>
    </row>
    <row r="5" spans="1:13" x14ac:dyDescent="0.3">
      <c r="A5" s="21">
        <v>4</v>
      </c>
      <c r="B5" s="1">
        <v>2008</v>
      </c>
      <c r="C5" s="1" t="s">
        <v>15</v>
      </c>
      <c r="D5" s="1">
        <v>12</v>
      </c>
      <c r="E5" s="1">
        <v>7</v>
      </c>
      <c r="F5" s="1">
        <v>2</v>
      </c>
      <c r="G5" s="1">
        <v>0</v>
      </c>
      <c r="H5" s="1">
        <v>171.43</v>
      </c>
      <c r="I5" s="1">
        <v>5</v>
      </c>
      <c r="J5" s="1">
        <v>0</v>
      </c>
      <c r="K5" s="1">
        <v>0</v>
      </c>
      <c r="L5" s="1" t="s">
        <v>20</v>
      </c>
      <c r="M5" s="22">
        <v>12.25</v>
      </c>
    </row>
    <row r="6" spans="1:13" x14ac:dyDescent="0.3">
      <c r="A6" s="21">
        <v>5</v>
      </c>
      <c r="B6" s="1">
        <v>2008</v>
      </c>
      <c r="C6" s="1" t="s">
        <v>16</v>
      </c>
      <c r="D6" s="1">
        <v>1</v>
      </c>
      <c r="E6" s="1">
        <v>1</v>
      </c>
      <c r="F6" s="1">
        <v>0</v>
      </c>
      <c r="G6" s="1">
        <v>0</v>
      </c>
      <c r="H6" s="1">
        <v>100</v>
      </c>
      <c r="I6" s="1">
        <v>0</v>
      </c>
      <c r="J6" s="1">
        <v>0</v>
      </c>
      <c r="K6" s="1">
        <v>0</v>
      </c>
      <c r="L6" s="1" t="s">
        <v>19</v>
      </c>
      <c r="M6" s="22">
        <v>12.4</v>
      </c>
    </row>
    <row r="7" spans="1:13" x14ac:dyDescent="0.3">
      <c r="A7" s="21">
        <v>6</v>
      </c>
      <c r="B7" s="1">
        <v>2008</v>
      </c>
      <c r="C7" s="1" t="s">
        <v>17</v>
      </c>
      <c r="D7" s="1">
        <v>38</v>
      </c>
      <c r="E7" s="1">
        <v>29</v>
      </c>
      <c r="F7" s="1">
        <v>1</v>
      </c>
      <c r="G7" s="1">
        <v>2</v>
      </c>
      <c r="H7" s="1">
        <v>131.03</v>
      </c>
      <c r="I7" s="1">
        <v>26</v>
      </c>
      <c r="J7" s="1">
        <v>0</v>
      </c>
      <c r="K7" s="1">
        <v>0</v>
      </c>
      <c r="L7" s="1" t="s">
        <v>20</v>
      </c>
      <c r="M7" s="22">
        <v>14.33</v>
      </c>
    </row>
    <row r="8" spans="1:13" x14ac:dyDescent="0.3">
      <c r="A8" s="21">
        <v>7</v>
      </c>
      <c r="B8" s="1">
        <v>2008</v>
      </c>
      <c r="C8" s="1" t="s">
        <v>18</v>
      </c>
      <c r="D8" s="1">
        <v>34</v>
      </c>
      <c r="E8" s="1">
        <v>36</v>
      </c>
      <c r="F8" s="1">
        <v>5</v>
      </c>
      <c r="G8" s="1">
        <v>0</v>
      </c>
      <c r="H8" s="1">
        <v>94.44</v>
      </c>
      <c r="I8" s="1">
        <v>31</v>
      </c>
      <c r="J8" s="1">
        <v>0</v>
      </c>
      <c r="K8" s="1">
        <v>0</v>
      </c>
      <c r="L8" s="1" t="s">
        <v>20</v>
      </c>
      <c r="M8" s="22">
        <v>13.33</v>
      </c>
    </row>
    <row r="9" spans="1:13" x14ac:dyDescent="0.3">
      <c r="A9" s="21">
        <v>8</v>
      </c>
      <c r="B9" s="1">
        <v>2008</v>
      </c>
      <c r="C9" s="1" t="s">
        <v>18</v>
      </c>
      <c r="D9" s="1">
        <v>21</v>
      </c>
      <c r="E9" s="1">
        <v>22</v>
      </c>
      <c r="F9" s="1">
        <v>4</v>
      </c>
      <c r="G9" s="1">
        <v>0</v>
      </c>
      <c r="H9" s="1">
        <v>95.45</v>
      </c>
      <c r="I9" s="1">
        <v>18</v>
      </c>
      <c r="J9" s="1">
        <v>0</v>
      </c>
      <c r="K9" s="1">
        <v>0</v>
      </c>
      <c r="L9" s="1" t="s">
        <v>20</v>
      </c>
      <c r="M9" s="22">
        <v>12.5</v>
      </c>
    </row>
    <row r="10" spans="1:13" x14ac:dyDescent="0.3">
      <c r="A10" s="21">
        <v>9</v>
      </c>
      <c r="B10" s="1">
        <v>2008</v>
      </c>
      <c r="C10" s="1" t="s">
        <v>14</v>
      </c>
      <c r="D10" s="1">
        <v>3</v>
      </c>
      <c r="E10" s="1">
        <v>7</v>
      </c>
      <c r="F10" s="1">
        <v>0</v>
      </c>
      <c r="G10" s="1">
        <v>0</v>
      </c>
      <c r="H10" s="1">
        <v>42.86</v>
      </c>
      <c r="I10" s="1">
        <v>7</v>
      </c>
      <c r="J10" s="1">
        <v>0</v>
      </c>
      <c r="K10" s="1">
        <v>0</v>
      </c>
      <c r="L10" s="1" t="s">
        <v>20</v>
      </c>
      <c r="M10" s="22">
        <v>11.75</v>
      </c>
    </row>
    <row r="11" spans="1:13" x14ac:dyDescent="0.3">
      <c r="A11" s="21">
        <v>10</v>
      </c>
      <c r="B11" s="1">
        <v>2008</v>
      </c>
      <c r="C11" s="1" t="s">
        <v>15</v>
      </c>
      <c r="D11" s="1">
        <v>10</v>
      </c>
      <c r="E11" s="1">
        <v>16</v>
      </c>
      <c r="F11" s="1">
        <v>1</v>
      </c>
      <c r="G11" s="1">
        <v>0</v>
      </c>
      <c r="H11" s="1">
        <v>62.5</v>
      </c>
      <c r="I11" s="1">
        <v>15</v>
      </c>
      <c r="J11" s="1">
        <v>0</v>
      </c>
      <c r="K11" s="1">
        <v>0</v>
      </c>
      <c r="L11" s="1" t="s">
        <v>20</v>
      </c>
      <c r="M11" s="22">
        <v>11.64</v>
      </c>
    </row>
    <row r="12" spans="1:13" x14ac:dyDescent="0.3">
      <c r="A12" s="21">
        <v>11</v>
      </c>
      <c r="B12" s="1">
        <v>2008</v>
      </c>
      <c r="C12" s="1" t="s">
        <v>17</v>
      </c>
      <c r="D12" s="1">
        <v>9</v>
      </c>
      <c r="E12" s="1">
        <v>5</v>
      </c>
      <c r="F12" s="1">
        <v>2</v>
      </c>
      <c r="G12" s="1">
        <v>0</v>
      </c>
      <c r="H12" s="1">
        <v>180</v>
      </c>
      <c r="I12" s="1">
        <v>3</v>
      </c>
      <c r="J12" s="1">
        <v>0</v>
      </c>
      <c r="K12" s="1">
        <v>0</v>
      </c>
      <c r="L12" s="1" t="s">
        <v>20</v>
      </c>
      <c r="M12" s="22">
        <v>11.8</v>
      </c>
    </row>
    <row r="13" spans="1:13" x14ac:dyDescent="0.3">
      <c r="A13" s="21">
        <v>12</v>
      </c>
      <c r="B13" s="1">
        <v>2008</v>
      </c>
      <c r="C13" s="1" t="s">
        <v>13</v>
      </c>
      <c r="D13" s="1">
        <v>0</v>
      </c>
      <c r="E13" s="1">
        <v>1</v>
      </c>
      <c r="F13" s="1">
        <v>0</v>
      </c>
      <c r="G13" s="1">
        <v>0</v>
      </c>
      <c r="H13" s="1">
        <v>0</v>
      </c>
      <c r="I13" s="1">
        <v>1</v>
      </c>
      <c r="J13" s="1">
        <v>0</v>
      </c>
      <c r="K13" s="1">
        <v>0</v>
      </c>
      <c r="L13" s="1" t="s">
        <v>20</v>
      </c>
      <c r="M13" s="22">
        <v>11.64</v>
      </c>
    </row>
    <row r="14" spans="1:13" x14ac:dyDescent="0.3">
      <c r="A14" s="21">
        <v>13</v>
      </c>
      <c r="B14" s="1">
        <v>2009</v>
      </c>
      <c r="C14" s="1" t="s">
        <v>14</v>
      </c>
      <c r="D14" s="1">
        <v>3</v>
      </c>
      <c r="E14" s="1">
        <v>8</v>
      </c>
      <c r="F14" s="1">
        <v>0</v>
      </c>
      <c r="G14" s="1">
        <v>0</v>
      </c>
      <c r="H14" s="1">
        <v>37.5</v>
      </c>
      <c r="I14" s="1">
        <v>5</v>
      </c>
      <c r="J14" s="1">
        <v>0</v>
      </c>
      <c r="K14" s="1">
        <v>0</v>
      </c>
      <c r="L14" s="1" t="s">
        <v>33</v>
      </c>
      <c r="M14" s="22">
        <v>3</v>
      </c>
    </row>
    <row r="15" spans="1:13" x14ac:dyDescent="0.3">
      <c r="A15" s="21">
        <v>14</v>
      </c>
      <c r="B15" s="1">
        <v>2009</v>
      </c>
      <c r="C15" s="1" t="s">
        <v>15</v>
      </c>
      <c r="D15" s="1">
        <v>11</v>
      </c>
      <c r="E15" s="1">
        <v>13</v>
      </c>
      <c r="F15" s="1">
        <v>0</v>
      </c>
      <c r="G15" s="1">
        <v>1</v>
      </c>
      <c r="H15" s="1">
        <v>84.62</v>
      </c>
      <c r="I15" s="1">
        <v>7</v>
      </c>
      <c r="J15" s="1">
        <v>0</v>
      </c>
      <c r="K15" s="1">
        <v>0</v>
      </c>
      <c r="L15" s="1" t="s">
        <v>33</v>
      </c>
      <c r="M15" s="22">
        <v>7</v>
      </c>
    </row>
    <row r="16" spans="1:13" x14ac:dyDescent="0.3">
      <c r="A16" s="21">
        <v>15</v>
      </c>
      <c r="B16" s="1">
        <v>2009</v>
      </c>
      <c r="C16" s="1" t="s">
        <v>17</v>
      </c>
      <c r="D16" s="1">
        <v>50</v>
      </c>
      <c r="E16" s="1">
        <v>32</v>
      </c>
      <c r="F16" s="1">
        <v>7</v>
      </c>
      <c r="G16" s="1">
        <v>0</v>
      </c>
      <c r="H16" s="1">
        <v>156.25</v>
      </c>
      <c r="I16" s="1">
        <v>10</v>
      </c>
      <c r="J16" s="1">
        <v>1</v>
      </c>
      <c r="K16" s="1">
        <v>0</v>
      </c>
      <c r="L16" s="1" t="s">
        <v>33</v>
      </c>
      <c r="M16" s="22">
        <v>21.33</v>
      </c>
    </row>
    <row r="17" spans="1:13" x14ac:dyDescent="0.3">
      <c r="A17" s="21">
        <v>16</v>
      </c>
      <c r="B17" s="1">
        <v>2009</v>
      </c>
      <c r="C17" s="1" t="s">
        <v>18</v>
      </c>
      <c r="D17" s="1">
        <v>2</v>
      </c>
      <c r="E17" s="1">
        <v>3</v>
      </c>
      <c r="F17" s="1">
        <v>0</v>
      </c>
      <c r="G17" s="1">
        <v>0</v>
      </c>
      <c r="H17" s="1">
        <v>66.77</v>
      </c>
      <c r="I17" s="1">
        <v>0</v>
      </c>
      <c r="J17" s="1">
        <v>0</v>
      </c>
      <c r="K17" s="1">
        <v>0</v>
      </c>
      <c r="L17" s="1" t="s">
        <v>33</v>
      </c>
      <c r="M17" s="22">
        <v>16.5</v>
      </c>
    </row>
    <row r="18" spans="1:13" x14ac:dyDescent="0.3">
      <c r="A18" s="21">
        <v>17</v>
      </c>
      <c r="B18" s="1">
        <v>2009</v>
      </c>
      <c r="C18" s="1" t="s">
        <v>16</v>
      </c>
      <c r="D18" s="1">
        <v>22</v>
      </c>
      <c r="E18" s="1">
        <v>24</v>
      </c>
      <c r="F18" s="1">
        <v>1</v>
      </c>
      <c r="G18" s="1">
        <v>0</v>
      </c>
      <c r="H18" s="1">
        <v>91.67</v>
      </c>
      <c r="I18" s="1">
        <v>7</v>
      </c>
      <c r="J18" s="1">
        <v>0</v>
      </c>
      <c r="K18" s="1">
        <v>0</v>
      </c>
      <c r="L18" s="1" t="s">
        <v>33</v>
      </c>
      <c r="M18" s="22">
        <v>17.600000000000001</v>
      </c>
    </row>
    <row r="19" spans="1:13" x14ac:dyDescent="0.3">
      <c r="A19" s="21">
        <v>18</v>
      </c>
      <c r="B19" s="1">
        <v>2009</v>
      </c>
      <c r="C19" s="1" t="s">
        <v>12</v>
      </c>
      <c r="D19" s="1">
        <v>19</v>
      </c>
      <c r="E19" s="1">
        <v>12</v>
      </c>
      <c r="F19" s="1">
        <v>1</v>
      </c>
      <c r="G19" s="1">
        <v>1</v>
      </c>
      <c r="H19" s="1">
        <v>158.33000000000001</v>
      </c>
      <c r="I19" s="1">
        <v>3</v>
      </c>
      <c r="J19" s="1">
        <v>0</v>
      </c>
      <c r="K19" s="1">
        <v>0</v>
      </c>
      <c r="L19" s="1" t="s">
        <v>33</v>
      </c>
      <c r="M19" s="22">
        <v>17.829999999999998</v>
      </c>
    </row>
    <row r="20" spans="1:13" x14ac:dyDescent="0.3">
      <c r="A20" s="21">
        <v>19</v>
      </c>
      <c r="B20" s="1">
        <v>2009</v>
      </c>
      <c r="C20" s="1" t="s">
        <v>18</v>
      </c>
      <c r="D20" s="1">
        <v>16</v>
      </c>
      <c r="E20" s="1">
        <v>14</v>
      </c>
      <c r="F20" s="1">
        <v>2</v>
      </c>
      <c r="G20" s="1">
        <v>0</v>
      </c>
      <c r="H20" s="1">
        <v>114.29</v>
      </c>
      <c r="I20" s="1">
        <v>5</v>
      </c>
      <c r="J20" s="1">
        <v>0</v>
      </c>
      <c r="K20" s="1">
        <v>0</v>
      </c>
      <c r="L20" s="1" t="s">
        <v>33</v>
      </c>
      <c r="M20" s="22">
        <v>17.57</v>
      </c>
    </row>
    <row r="21" spans="1:13" x14ac:dyDescent="0.3">
      <c r="A21" s="21">
        <v>20</v>
      </c>
      <c r="B21" s="1">
        <v>2009</v>
      </c>
      <c r="C21" s="1" t="s">
        <v>14</v>
      </c>
      <c r="D21" s="1">
        <v>15</v>
      </c>
      <c r="E21" s="1">
        <v>22</v>
      </c>
      <c r="F21" s="1">
        <v>1</v>
      </c>
      <c r="G21" s="1">
        <v>0</v>
      </c>
      <c r="H21" s="1">
        <v>68.180000000000007</v>
      </c>
      <c r="I21" s="1">
        <v>12</v>
      </c>
      <c r="J21" s="1">
        <v>0</v>
      </c>
      <c r="K21" s="1">
        <v>0</v>
      </c>
      <c r="L21" s="1" t="s">
        <v>33</v>
      </c>
      <c r="M21" s="22">
        <v>17.25</v>
      </c>
    </row>
    <row r="22" spans="1:13" x14ac:dyDescent="0.3">
      <c r="A22" s="21">
        <v>21</v>
      </c>
      <c r="B22" s="1">
        <v>2009</v>
      </c>
      <c r="C22" s="1" t="s">
        <v>13</v>
      </c>
      <c r="D22" s="1">
        <v>20</v>
      </c>
      <c r="E22" s="1">
        <v>22</v>
      </c>
      <c r="F22" s="1">
        <v>4</v>
      </c>
      <c r="G22" s="1">
        <v>0</v>
      </c>
      <c r="H22" s="1">
        <v>90.91</v>
      </c>
      <c r="I22" s="1">
        <v>13</v>
      </c>
      <c r="J22" s="1">
        <v>0</v>
      </c>
      <c r="K22" s="1">
        <v>0</v>
      </c>
      <c r="L22" s="1" t="s">
        <v>33</v>
      </c>
      <c r="M22" s="22">
        <v>17.559999999999999</v>
      </c>
    </row>
    <row r="23" spans="1:13" x14ac:dyDescent="0.3">
      <c r="A23" s="21">
        <v>22</v>
      </c>
      <c r="B23" s="1">
        <v>2009</v>
      </c>
      <c r="C23" s="1" t="s">
        <v>15</v>
      </c>
      <c r="D23" s="1">
        <v>38</v>
      </c>
      <c r="E23" s="1">
        <v>35</v>
      </c>
      <c r="F23" s="1">
        <v>4</v>
      </c>
      <c r="G23" s="1">
        <v>2</v>
      </c>
      <c r="H23" s="1">
        <v>108.57</v>
      </c>
      <c r="I23" s="1">
        <v>20</v>
      </c>
      <c r="J23" s="1">
        <v>0</v>
      </c>
      <c r="K23" s="1">
        <v>0</v>
      </c>
      <c r="L23" s="1" t="s">
        <v>33</v>
      </c>
      <c r="M23" s="22">
        <v>19.600000000000001</v>
      </c>
    </row>
    <row r="24" spans="1:13" x14ac:dyDescent="0.3">
      <c r="A24" s="21">
        <v>23</v>
      </c>
      <c r="B24" s="1">
        <v>2009</v>
      </c>
      <c r="C24" s="1" t="s">
        <v>17</v>
      </c>
      <c r="D24" s="1">
        <v>19</v>
      </c>
      <c r="E24" s="1">
        <v>9</v>
      </c>
      <c r="F24" s="1">
        <v>0</v>
      </c>
      <c r="G24" s="1">
        <v>2</v>
      </c>
      <c r="H24" s="1">
        <v>211.11</v>
      </c>
      <c r="I24" s="1">
        <v>2</v>
      </c>
      <c r="J24" s="1">
        <v>0</v>
      </c>
      <c r="K24" s="1">
        <v>0</v>
      </c>
      <c r="L24" s="1" t="s">
        <v>19</v>
      </c>
      <c r="M24" s="22">
        <v>21.5</v>
      </c>
    </row>
    <row r="25" spans="1:13" x14ac:dyDescent="0.3">
      <c r="A25" s="21">
        <v>24</v>
      </c>
      <c r="B25" s="1">
        <v>2009</v>
      </c>
      <c r="C25" s="1" t="s">
        <v>15</v>
      </c>
      <c r="D25" s="1">
        <v>24</v>
      </c>
      <c r="E25" s="1">
        <v>17</v>
      </c>
      <c r="F25" s="1">
        <v>1</v>
      </c>
      <c r="G25" s="1">
        <v>2</v>
      </c>
      <c r="H25" s="1">
        <v>141.18</v>
      </c>
      <c r="I25" s="1">
        <v>8</v>
      </c>
      <c r="J25" s="1">
        <v>0</v>
      </c>
      <c r="K25" s="1">
        <v>0</v>
      </c>
      <c r="L25" s="1" t="s">
        <v>19</v>
      </c>
      <c r="M25" s="22">
        <v>23.9</v>
      </c>
    </row>
    <row r="26" spans="1:13" x14ac:dyDescent="0.3">
      <c r="A26" s="21">
        <v>25</v>
      </c>
      <c r="B26" s="1">
        <v>2009</v>
      </c>
      <c r="C26" s="1" t="s">
        <v>17</v>
      </c>
      <c r="D26" s="1">
        <v>7</v>
      </c>
      <c r="E26" s="1">
        <v>8</v>
      </c>
      <c r="F26" s="1">
        <v>1</v>
      </c>
      <c r="G26" s="1">
        <v>0</v>
      </c>
      <c r="H26" s="1">
        <v>87.5</v>
      </c>
      <c r="I26" s="1">
        <v>4</v>
      </c>
      <c r="J26" s="1">
        <v>0</v>
      </c>
      <c r="K26" s="1">
        <v>0</v>
      </c>
      <c r="L26" s="1" t="s">
        <v>33</v>
      </c>
      <c r="M26" s="22">
        <v>22.66</v>
      </c>
    </row>
    <row r="27" spans="1:13" x14ac:dyDescent="0.3">
      <c r="A27" s="21">
        <v>26</v>
      </c>
      <c r="B27" s="6">
        <v>2010</v>
      </c>
      <c r="C27" s="6" t="s">
        <v>12</v>
      </c>
      <c r="D27" s="6">
        <v>2</v>
      </c>
      <c r="E27" s="6">
        <v>5</v>
      </c>
      <c r="F27" s="6">
        <v>0</v>
      </c>
      <c r="G27" s="6">
        <v>0</v>
      </c>
      <c r="H27" s="6">
        <v>40</v>
      </c>
      <c r="I27" s="6">
        <v>3</v>
      </c>
      <c r="J27" s="6">
        <v>0</v>
      </c>
      <c r="K27" s="6">
        <v>0</v>
      </c>
      <c r="L27" s="6" t="s">
        <v>20</v>
      </c>
      <c r="M27" s="23">
        <v>2</v>
      </c>
    </row>
    <row r="28" spans="1:13" x14ac:dyDescent="0.3">
      <c r="A28" s="21">
        <v>27</v>
      </c>
      <c r="B28" s="6">
        <v>2010</v>
      </c>
      <c r="C28" s="6" t="s">
        <v>18</v>
      </c>
      <c r="D28" s="6">
        <v>16</v>
      </c>
      <c r="E28" s="6">
        <v>12</v>
      </c>
      <c r="F28" s="6">
        <v>1</v>
      </c>
      <c r="G28" s="6">
        <v>1</v>
      </c>
      <c r="H28" s="6">
        <v>133.33000000000001</v>
      </c>
      <c r="I28" s="6">
        <v>4</v>
      </c>
      <c r="J28" s="6">
        <v>0</v>
      </c>
      <c r="K28" s="6">
        <v>0</v>
      </c>
      <c r="L28" s="6" t="s">
        <v>19</v>
      </c>
      <c r="M28" s="23">
        <v>18</v>
      </c>
    </row>
    <row r="29" spans="1:13" x14ac:dyDescent="0.3">
      <c r="A29" s="21">
        <v>28</v>
      </c>
      <c r="B29" s="6">
        <v>2010</v>
      </c>
      <c r="C29" s="6" t="s">
        <v>13</v>
      </c>
      <c r="D29" s="6">
        <v>17</v>
      </c>
      <c r="E29" s="6">
        <v>12</v>
      </c>
      <c r="F29" s="6">
        <v>0</v>
      </c>
      <c r="G29" s="6">
        <v>2</v>
      </c>
      <c r="H29" s="6">
        <v>141.66999999999999</v>
      </c>
      <c r="I29" s="6">
        <v>5</v>
      </c>
      <c r="J29" s="6">
        <v>0</v>
      </c>
      <c r="K29" s="6">
        <v>0</v>
      </c>
      <c r="L29" s="6" t="s">
        <v>20</v>
      </c>
      <c r="M29" s="23">
        <v>17.5</v>
      </c>
    </row>
    <row r="30" spans="1:13" x14ac:dyDescent="0.3">
      <c r="A30" s="21">
        <v>29</v>
      </c>
      <c r="B30" s="6">
        <v>2010</v>
      </c>
      <c r="C30" s="6" t="s">
        <v>15</v>
      </c>
      <c r="D30" s="6">
        <v>24</v>
      </c>
      <c r="E30" s="6">
        <v>16</v>
      </c>
      <c r="F30" s="6">
        <v>2</v>
      </c>
      <c r="G30" s="6">
        <v>1</v>
      </c>
      <c r="H30" s="6">
        <v>150</v>
      </c>
      <c r="I30" s="6">
        <v>3</v>
      </c>
      <c r="J30" s="6">
        <v>0</v>
      </c>
      <c r="K30" s="6">
        <v>0</v>
      </c>
      <c r="L30" s="6" t="s">
        <v>20</v>
      </c>
      <c r="M30" s="23">
        <v>19.670000000000002</v>
      </c>
    </row>
    <row r="31" spans="1:13" x14ac:dyDescent="0.3">
      <c r="A31" s="21">
        <v>30</v>
      </c>
      <c r="B31" s="6">
        <v>2010</v>
      </c>
      <c r="C31" s="6" t="s">
        <v>16</v>
      </c>
      <c r="D31" s="6">
        <v>38</v>
      </c>
      <c r="E31" s="6">
        <v>23</v>
      </c>
      <c r="F31" s="6">
        <v>4</v>
      </c>
      <c r="G31" s="6">
        <v>1</v>
      </c>
      <c r="H31" s="6">
        <v>165.22</v>
      </c>
      <c r="I31" s="6">
        <v>2</v>
      </c>
      <c r="J31" s="6">
        <v>0</v>
      </c>
      <c r="K31" s="6">
        <v>0</v>
      </c>
      <c r="L31" s="6" t="s">
        <v>19</v>
      </c>
      <c r="M31" s="23">
        <v>32.33</v>
      </c>
    </row>
    <row r="32" spans="1:13" x14ac:dyDescent="0.3">
      <c r="A32" s="21">
        <v>31</v>
      </c>
      <c r="B32" s="6">
        <v>2010</v>
      </c>
      <c r="C32" s="6" t="s">
        <v>15</v>
      </c>
      <c r="D32" s="6">
        <v>34</v>
      </c>
      <c r="E32" s="6">
        <v>24</v>
      </c>
      <c r="F32" s="6">
        <v>3</v>
      </c>
      <c r="G32" s="6">
        <v>1</v>
      </c>
      <c r="H32" s="6">
        <v>141.66999999999999</v>
      </c>
      <c r="I32" s="6">
        <v>4</v>
      </c>
      <c r="J32" s="6">
        <v>0</v>
      </c>
      <c r="K32" s="6">
        <v>0</v>
      </c>
      <c r="L32" s="6" t="s">
        <v>20</v>
      </c>
      <c r="M32" s="23">
        <v>32.75</v>
      </c>
    </row>
    <row r="33" spans="1:13" x14ac:dyDescent="0.3">
      <c r="A33" s="21">
        <v>32</v>
      </c>
      <c r="B33" s="6">
        <v>2010</v>
      </c>
      <c r="C33" s="6" t="s">
        <v>18</v>
      </c>
      <c r="D33" s="6">
        <v>42</v>
      </c>
      <c r="E33" s="6">
        <v>26</v>
      </c>
      <c r="F33" s="6">
        <v>4</v>
      </c>
      <c r="G33" s="6">
        <v>1</v>
      </c>
      <c r="H33" s="6">
        <v>161.54</v>
      </c>
      <c r="I33" s="6">
        <v>1</v>
      </c>
      <c r="J33" s="6">
        <v>0</v>
      </c>
      <c r="K33" s="6">
        <v>0</v>
      </c>
      <c r="L33" s="6" t="s">
        <v>20</v>
      </c>
      <c r="M33" s="23">
        <v>34.6</v>
      </c>
    </row>
    <row r="34" spans="1:13" x14ac:dyDescent="0.3">
      <c r="A34" s="21">
        <v>33</v>
      </c>
      <c r="B34" s="6">
        <v>2010</v>
      </c>
      <c r="C34" s="6" t="s">
        <v>16</v>
      </c>
      <c r="D34" s="6">
        <v>13</v>
      </c>
      <c r="E34" s="6">
        <v>11</v>
      </c>
      <c r="F34" s="6">
        <v>1</v>
      </c>
      <c r="G34" s="6">
        <v>0</v>
      </c>
      <c r="H34" s="6">
        <v>118.18</v>
      </c>
      <c r="I34" s="6">
        <v>1</v>
      </c>
      <c r="J34" s="6">
        <v>0</v>
      </c>
      <c r="K34" s="6">
        <v>0</v>
      </c>
      <c r="L34" s="6" t="s">
        <v>20</v>
      </c>
      <c r="M34" s="23">
        <v>31</v>
      </c>
    </row>
    <row r="35" spans="1:13" x14ac:dyDescent="0.3">
      <c r="A35" s="21">
        <v>34</v>
      </c>
      <c r="B35" s="6">
        <v>2010</v>
      </c>
      <c r="C35" s="6" t="s">
        <v>17</v>
      </c>
      <c r="D35" s="6">
        <v>58</v>
      </c>
      <c r="E35" s="6">
        <v>35</v>
      </c>
      <c r="F35" s="6">
        <v>4</v>
      </c>
      <c r="G35" s="6">
        <v>4</v>
      </c>
      <c r="H35" s="6">
        <v>165.71</v>
      </c>
      <c r="I35" s="6">
        <v>9</v>
      </c>
      <c r="J35" s="6">
        <v>0</v>
      </c>
      <c r="K35" s="6">
        <v>0</v>
      </c>
      <c r="L35" s="6" t="s">
        <v>20</v>
      </c>
      <c r="M35" s="23">
        <v>34.86</v>
      </c>
    </row>
    <row r="36" spans="1:13" x14ac:dyDescent="0.3">
      <c r="A36" s="21">
        <v>35</v>
      </c>
      <c r="B36" s="6">
        <v>2010</v>
      </c>
      <c r="C36" s="6" t="s">
        <v>17</v>
      </c>
      <c r="D36" s="6">
        <v>3</v>
      </c>
      <c r="E36" s="6">
        <v>4</v>
      </c>
      <c r="F36" s="6">
        <v>0</v>
      </c>
      <c r="G36" s="6">
        <v>0</v>
      </c>
      <c r="H36" s="6">
        <v>75</v>
      </c>
      <c r="I36" s="6">
        <v>1</v>
      </c>
      <c r="J36" s="6">
        <v>0</v>
      </c>
      <c r="K36" s="6">
        <v>0</v>
      </c>
      <c r="L36" s="6" t="s">
        <v>20</v>
      </c>
      <c r="M36" s="23">
        <v>34.86</v>
      </c>
    </row>
    <row r="37" spans="1:13" x14ac:dyDescent="0.3">
      <c r="A37" s="21">
        <v>36</v>
      </c>
      <c r="B37" s="6">
        <v>2010</v>
      </c>
      <c r="C37" s="6" t="s">
        <v>14</v>
      </c>
      <c r="D37" s="6">
        <v>14</v>
      </c>
      <c r="E37" s="6">
        <v>13</v>
      </c>
      <c r="F37" s="6">
        <v>2</v>
      </c>
      <c r="G37" s="6">
        <v>0</v>
      </c>
      <c r="H37" s="6">
        <v>110</v>
      </c>
      <c r="I37" s="6">
        <v>6</v>
      </c>
      <c r="J37" s="6">
        <v>0</v>
      </c>
      <c r="K37" s="6">
        <v>0</v>
      </c>
      <c r="L37" s="6" t="s">
        <v>20</v>
      </c>
      <c r="M37" s="23">
        <v>34.86</v>
      </c>
    </row>
    <row r="38" spans="1:13" x14ac:dyDescent="0.3">
      <c r="A38" s="21">
        <v>37</v>
      </c>
      <c r="B38" s="6">
        <v>2010</v>
      </c>
      <c r="C38" s="6" t="s">
        <v>13</v>
      </c>
      <c r="D38" s="6">
        <v>37</v>
      </c>
      <c r="E38" s="6">
        <v>24</v>
      </c>
      <c r="F38" s="6">
        <v>4</v>
      </c>
      <c r="G38" s="6">
        <v>1</v>
      </c>
      <c r="H38" s="6">
        <v>154.16999999999999</v>
      </c>
      <c r="I38" s="6">
        <v>4</v>
      </c>
      <c r="J38" s="6">
        <v>0</v>
      </c>
      <c r="K38" s="6">
        <v>0</v>
      </c>
      <c r="L38" s="6" t="s">
        <v>20</v>
      </c>
      <c r="M38" s="23">
        <v>35.130000000000003</v>
      </c>
    </row>
    <row r="39" spans="1:13" x14ac:dyDescent="0.3">
      <c r="A39" s="21">
        <v>38</v>
      </c>
      <c r="B39" s="6">
        <v>2010</v>
      </c>
      <c r="C39" s="6" t="s">
        <v>13</v>
      </c>
      <c r="D39" s="6">
        <v>9</v>
      </c>
      <c r="E39" s="6">
        <v>7</v>
      </c>
      <c r="F39" s="6">
        <v>1</v>
      </c>
      <c r="G39" s="6">
        <v>0</v>
      </c>
      <c r="H39" s="6">
        <v>128.57</v>
      </c>
      <c r="I39" s="6">
        <v>1</v>
      </c>
      <c r="J39" s="6">
        <v>0</v>
      </c>
      <c r="K39" s="6">
        <v>0</v>
      </c>
      <c r="L39" s="6" t="s">
        <v>20</v>
      </c>
      <c r="M39" s="23">
        <v>32.22</v>
      </c>
    </row>
    <row r="40" spans="1:13" x14ac:dyDescent="0.3">
      <c r="A40" s="21">
        <v>39</v>
      </c>
      <c r="B40" s="6">
        <v>2011</v>
      </c>
      <c r="C40" s="6" t="s">
        <v>63</v>
      </c>
      <c r="D40" s="6">
        <v>23</v>
      </c>
      <c r="E40" s="6">
        <v>18</v>
      </c>
      <c r="F40" s="6">
        <v>4</v>
      </c>
      <c r="G40" s="6">
        <v>0</v>
      </c>
      <c r="H40" s="6">
        <v>127.78</v>
      </c>
      <c r="I40" s="6">
        <v>7</v>
      </c>
      <c r="J40" s="6">
        <v>0</v>
      </c>
      <c r="K40" s="6">
        <v>0</v>
      </c>
      <c r="L40" s="6" t="s">
        <v>20</v>
      </c>
      <c r="M40" s="23">
        <v>23</v>
      </c>
    </row>
    <row r="41" spans="1:13" x14ac:dyDescent="0.3">
      <c r="A41" s="21">
        <v>40</v>
      </c>
      <c r="B41" s="6">
        <v>2011</v>
      </c>
      <c r="C41" s="6" t="s">
        <v>13</v>
      </c>
      <c r="D41" s="6">
        <v>12</v>
      </c>
      <c r="E41" s="6">
        <v>19</v>
      </c>
      <c r="F41" s="6">
        <v>2</v>
      </c>
      <c r="G41" s="6">
        <v>0</v>
      </c>
      <c r="H41" s="6">
        <v>63.16</v>
      </c>
      <c r="I41" s="6">
        <v>13</v>
      </c>
      <c r="J41" s="6">
        <v>0</v>
      </c>
      <c r="K41" s="6">
        <v>0</v>
      </c>
      <c r="L41" s="6" t="s">
        <v>20</v>
      </c>
      <c r="M41" s="23">
        <v>17.5</v>
      </c>
    </row>
    <row r="42" spans="1:13" x14ac:dyDescent="0.3">
      <c r="A42" s="21">
        <v>41</v>
      </c>
      <c r="B42" s="6">
        <v>2011</v>
      </c>
      <c r="C42" s="6" t="s">
        <v>17</v>
      </c>
      <c r="D42" s="6">
        <v>71</v>
      </c>
      <c r="E42" s="6">
        <v>51</v>
      </c>
      <c r="F42" s="6">
        <v>5</v>
      </c>
      <c r="G42" s="6">
        <v>3</v>
      </c>
      <c r="H42" s="6">
        <v>139.22</v>
      </c>
      <c r="I42" s="6">
        <v>10</v>
      </c>
      <c r="J42" s="6">
        <v>1</v>
      </c>
      <c r="K42" s="6">
        <v>0</v>
      </c>
      <c r="L42" s="6" t="s">
        <v>20</v>
      </c>
      <c r="M42" s="23">
        <v>35.33</v>
      </c>
    </row>
    <row r="43" spans="1:13" x14ac:dyDescent="0.3">
      <c r="A43" s="21">
        <v>42</v>
      </c>
      <c r="B43" s="6">
        <v>2011</v>
      </c>
      <c r="C43" s="6" t="s">
        <v>15</v>
      </c>
      <c r="D43" s="6">
        <v>35</v>
      </c>
      <c r="E43" s="6">
        <v>28</v>
      </c>
      <c r="F43" s="6">
        <v>4</v>
      </c>
      <c r="G43" s="6">
        <v>1</v>
      </c>
      <c r="H43" s="6">
        <v>125</v>
      </c>
      <c r="I43" s="6">
        <v>11</v>
      </c>
      <c r="J43" s="6">
        <v>0</v>
      </c>
      <c r="K43" s="6">
        <v>0</v>
      </c>
      <c r="L43" s="6" t="s">
        <v>20</v>
      </c>
      <c r="M43" s="23">
        <v>35.25</v>
      </c>
    </row>
    <row r="44" spans="1:13" x14ac:dyDescent="0.3">
      <c r="A44" s="21">
        <v>43</v>
      </c>
      <c r="B44" s="6">
        <v>2011</v>
      </c>
      <c r="C44" s="6" t="s">
        <v>12</v>
      </c>
      <c r="D44" s="6">
        <v>30</v>
      </c>
      <c r="E44" s="6">
        <v>23</v>
      </c>
      <c r="F44" s="6">
        <v>3</v>
      </c>
      <c r="G44" s="6">
        <v>1</v>
      </c>
      <c r="H44" s="6">
        <v>130.43</v>
      </c>
      <c r="I44" s="6">
        <v>8</v>
      </c>
      <c r="J44" s="6">
        <v>0</v>
      </c>
      <c r="K44" s="6">
        <v>0</v>
      </c>
      <c r="L44" s="6" t="s">
        <v>19</v>
      </c>
      <c r="M44" s="23">
        <v>42.75</v>
      </c>
    </row>
    <row r="45" spans="1:13" x14ac:dyDescent="0.3">
      <c r="A45" s="21">
        <v>44</v>
      </c>
      <c r="B45" s="6">
        <v>2011</v>
      </c>
      <c r="C45" s="6" t="s">
        <v>16</v>
      </c>
      <c r="D45" s="6">
        <v>56</v>
      </c>
      <c r="E45" s="6">
        <v>38</v>
      </c>
      <c r="F45" s="6">
        <v>8</v>
      </c>
      <c r="G45" s="6">
        <v>2</v>
      </c>
      <c r="H45" s="6">
        <v>147.36000000000001</v>
      </c>
      <c r="I45" s="6">
        <v>18</v>
      </c>
      <c r="J45" s="6">
        <v>1</v>
      </c>
      <c r="K45" s="6">
        <v>0</v>
      </c>
      <c r="L45" s="6" t="s">
        <v>20</v>
      </c>
      <c r="M45" s="23">
        <v>45.4</v>
      </c>
    </row>
    <row r="46" spans="1:13" x14ac:dyDescent="0.3">
      <c r="A46" s="21">
        <v>45</v>
      </c>
      <c r="B46" s="6">
        <v>2011</v>
      </c>
      <c r="C46" s="6" t="s">
        <v>56</v>
      </c>
      <c r="D46" s="6">
        <v>67</v>
      </c>
      <c r="E46" s="6">
        <v>42</v>
      </c>
      <c r="F46" s="6">
        <v>4</v>
      </c>
      <c r="G46" s="6">
        <v>4</v>
      </c>
      <c r="H46" s="6">
        <v>159.52000000000001</v>
      </c>
      <c r="I46" s="6">
        <v>11</v>
      </c>
      <c r="J46" s="6">
        <v>1</v>
      </c>
      <c r="K46" s="6">
        <v>0</v>
      </c>
      <c r="L46" s="6" t="s">
        <v>20</v>
      </c>
      <c r="M46" s="23">
        <v>49</v>
      </c>
    </row>
    <row r="47" spans="1:13" x14ac:dyDescent="0.3">
      <c r="A47" s="21">
        <v>46</v>
      </c>
      <c r="B47" s="6">
        <v>2011</v>
      </c>
      <c r="C47" s="6" t="s">
        <v>18</v>
      </c>
      <c r="D47" s="6">
        <v>27</v>
      </c>
      <c r="E47" s="6">
        <v>31</v>
      </c>
      <c r="F47" s="6">
        <v>4</v>
      </c>
      <c r="G47" s="6">
        <v>0</v>
      </c>
      <c r="H47" s="6">
        <v>87.1</v>
      </c>
      <c r="I47" s="6">
        <v>16</v>
      </c>
      <c r="J47" s="6">
        <v>0</v>
      </c>
      <c r="K47" s="6">
        <v>0</v>
      </c>
      <c r="L47" s="6" t="s">
        <v>20</v>
      </c>
      <c r="M47" s="23">
        <v>45.86</v>
      </c>
    </row>
    <row r="48" spans="1:13" x14ac:dyDescent="0.3">
      <c r="A48" s="21">
        <v>47</v>
      </c>
      <c r="B48" s="6">
        <v>2011</v>
      </c>
      <c r="C48" s="6" t="s">
        <v>63</v>
      </c>
      <c r="D48" s="6">
        <v>27</v>
      </c>
      <c r="E48" s="6">
        <v>33</v>
      </c>
      <c r="F48" s="6">
        <v>3</v>
      </c>
      <c r="G48" s="6">
        <v>0</v>
      </c>
      <c r="H48" s="6">
        <v>81.819999999999993</v>
      </c>
      <c r="I48" s="6">
        <v>15</v>
      </c>
      <c r="J48" s="6">
        <v>0</v>
      </c>
      <c r="K48" s="6">
        <v>0</v>
      </c>
      <c r="L48" s="6" t="s">
        <v>19</v>
      </c>
      <c r="M48" s="23">
        <v>49.71</v>
      </c>
    </row>
    <row r="49" spans="1:13" x14ac:dyDescent="0.3">
      <c r="A49" s="21">
        <v>48</v>
      </c>
      <c r="B49" s="6">
        <v>2011</v>
      </c>
      <c r="C49" s="6" t="s">
        <v>14</v>
      </c>
      <c r="D49" s="6">
        <v>39</v>
      </c>
      <c r="E49" s="6">
        <v>34</v>
      </c>
      <c r="F49" s="6">
        <v>3</v>
      </c>
      <c r="G49" s="6">
        <v>0</v>
      </c>
      <c r="H49" s="6">
        <v>114.71</v>
      </c>
      <c r="I49" s="6">
        <v>4</v>
      </c>
      <c r="J49" s="6">
        <v>0</v>
      </c>
      <c r="K49" s="6">
        <v>0</v>
      </c>
      <c r="L49" s="6" t="s">
        <v>19</v>
      </c>
      <c r="M49" s="23">
        <v>55.29</v>
      </c>
    </row>
    <row r="50" spans="1:13" x14ac:dyDescent="0.3">
      <c r="A50" s="21">
        <v>49</v>
      </c>
      <c r="B50" s="6">
        <v>2011</v>
      </c>
      <c r="C50" s="6" t="s">
        <v>12</v>
      </c>
      <c r="D50" s="6">
        <v>15</v>
      </c>
      <c r="E50" s="6">
        <v>15</v>
      </c>
      <c r="F50" s="6">
        <v>1</v>
      </c>
      <c r="G50" s="6">
        <v>0</v>
      </c>
      <c r="H50" s="6">
        <v>100</v>
      </c>
      <c r="I50" s="6">
        <v>3</v>
      </c>
      <c r="J50" s="6">
        <v>0</v>
      </c>
      <c r="K50" s="6">
        <v>0</v>
      </c>
      <c r="L50" s="6" t="s">
        <v>20</v>
      </c>
      <c r="M50" s="23">
        <v>55.56</v>
      </c>
    </row>
    <row r="51" spans="1:13" x14ac:dyDescent="0.3">
      <c r="A51" s="21">
        <v>50</v>
      </c>
      <c r="B51" s="6">
        <v>2011</v>
      </c>
      <c r="C51" s="6" t="s">
        <v>18</v>
      </c>
      <c r="D51" s="6">
        <v>11</v>
      </c>
      <c r="E51" s="6">
        <v>11</v>
      </c>
      <c r="F51" s="6">
        <v>2</v>
      </c>
      <c r="G51" s="6">
        <v>0</v>
      </c>
      <c r="H51" s="6">
        <v>100</v>
      </c>
      <c r="I51" s="6">
        <v>6</v>
      </c>
      <c r="J51" s="6">
        <v>0</v>
      </c>
      <c r="K51" s="6">
        <v>0</v>
      </c>
      <c r="L51" s="6" t="s">
        <v>20</v>
      </c>
      <c r="M51" s="23">
        <v>51.1</v>
      </c>
    </row>
    <row r="52" spans="1:13" x14ac:dyDescent="0.3">
      <c r="A52" s="21">
        <v>51</v>
      </c>
      <c r="B52" s="6">
        <v>2011</v>
      </c>
      <c r="C52" s="6" t="s">
        <v>15</v>
      </c>
      <c r="D52" s="6">
        <v>31</v>
      </c>
      <c r="E52" s="6">
        <v>29</v>
      </c>
      <c r="F52" s="6">
        <v>5</v>
      </c>
      <c r="G52" s="6">
        <v>0</v>
      </c>
      <c r="H52" s="6">
        <v>106.9</v>
      </c>
      <c r="I52" s="6">
        <v>13</v>
      </c>
      <c r="J52" s="6">
        <v>0</v>
      </c>
      <c r="K52" s="6">
        <v>0</v>
      </c>
      <c r="L52" s="6" t="s">
        <v>20</v>
      </c>
      <c r="M52" s="23">
        <v>51.73</v>
      </c>
    </row>
    <row r="53" spans="1:13" x14ac:dyDescent="0.3">
      <c r="A53" s="21">
        <v>52</v>
      </c>
      <c r="B53" s="6">
        <v>2011</v>
      </c>
      <c r="C53" s="6" t="s">
        <v>15</v>
      </c>
      <c r="D53" s="6">
        <v>70</v>
      </c>
      <c r="E53" s="6">
        <v>44</v>
      </c>
      <c r="F53" s="6">
        <v>5</v>
      </c>
      <c r="G53" s="6">
        <v>3</v>
      </c>
      <c r="H53" s="6">
        <v>159.09</v>
      </c>
      <c r="I53" s="6">
        <v>4</v>
      </c>
      <c r="J53" s="6">
        <v>1</v>
      </c>
      <c r="K53" s="6">
        <v>0</v>
      </c>
      <c r="L53" s="6" t="s">
        <v>19</v>
      </c>
      <c r="M53" s="23">
        <v>65.290000000000006</v>
      </c>
    </row>
    <row r="54" spans="1:13" x14ac:dyDescent="0.3">
      <c r="A54" s="21">
        <v>53</v>
      </c>
      <c r="B54" s="6">
        <v>2011</v>
      </c>
      <c r="C54" s="6" t="s">
        <v>13</v>
      </c>
      <c r="D54" s="6">
        <v>8</v>
      </c>
      <c r="E54" s="6">
        <v>12</v>
      </c>
      <c r="F54" s="6">
        <v>0</v>
      </c>
      <c r="G54" s="6">
        <v>0</v>
      </c>
      <c r="H54" s="6">
        <v>66.67</v>
      </c>
      <c r="I54" s="6">
        <v>4</v>
      </c>
      <c r="J54" s="6">
        <v>0</v>
      </c>
      <c r="K54" s="6">
        <v>0</v>
      </c>
      <c r="L54" s="6" t="s">
        <v>20</v>
      </c>
      <c r="M54" s="23">
        <v>58.13</v>
      </c>
    </row>
    <row r="55" spans="1:13" x14ac:dyDescent="0.3">
      <c r="A55" s="21">
        <v>54</v>
      </c>
      <c r="B55" s="6">
        <v>2011</v>
      </c>
      <c r="C55" s="6" t="s">
        <v>15</v>
      </c>
      <c r="D55" s="6">
        <v>35</v>
      </c>
      <c r="E55" s="6">
        <v>32</v>
      </c>
      <c r="F55" s="6">
        <v>1</v>
      </c>
      <c r="G55" s="6">
        <v>1</v>
      </c>
      <c r="H55" s="6">
        <v>109.38</v>
      </c>
      <c r="I55" s="6">
        <v>6</v>
      </c>
      <c r="J55" s="6">
        <v>0</v>
      </c>
      <c r="K55" s="6">
        <v>0</v>
      </c>
      <c r="L55" s="6" t="s">
        <v>20</v>
      </c>
      <c r="M55" s="23">
        <v>55.56</v>
      </c>
    </row>
    <row r="56" spans="1:13" x14ac:dyDescent="0.3">
      <c r="A56" s="21">
        <v>55</v>
      </c>
      <c r="B56" s="6">
        <v>2012</v>
      </c>
      <c r="C56" s="6" t="s">
        <v>16</v>
      </c>
      <c r="D56" s="6">
        <v>8</v>
      </c>
      <c r="E56" s="6">
        <v>8</v>
      </c>
      <c r="F56" s="6">
        <v>1</v>
      </c>
      <c r="G56" s="6">
        <v>0</v>
      </c>
      <c r="H56" s="6">
        <v>100</v>
      </c>
      <c r="I56" s="6">
        <v>4</v>
      </c>
      <c r="J56" s="6">
        <v>0</v>
      </c>
      <c r="K56" s="6">
        <v>0</v>
      </c>
      <c r="L56" s="6" t="s">
        <v>20</v>
      </c>
      <c r="M56" s="23">
        <v>28</v>
      </c>
    </row>
    <row r="57" spans="1:13" x14ac:dyDescent="0.3">
      <c r="A57" s="21">
        <v>56</v>
      </c>
      <c r="B57" s="6">
        <v>2012</v>
      </c>
      <c r="C57" s="6" t="s">
        <v>12</v>
      </c>
      <c r="D57" s="6">
        <v>6</v>
      </c>
      <c r="E57" s="6">
        <v>14</v>
      </c>
      <c r="F57" s="6">
        <v>0</v>
      </c>
      <c r="G57" s="6">
        <v>0</v>
      </c>
      <c r="H57" s="6">
        <v>42.85</v>
      </c>
      <c r="I57" s="6">
        <v>9</v>
      </c>
      <c r="J57" s="6">
        <v>0</v>
      </c>
      <c r="K57" s="6">
        <v>0</v>
      </c>
      <c r="L57" s="6" t="s">
        <v>20</v>
      </c>
      <c r="M57" s="23">
        <v>28</v>
      </c>
    </row>
    <row r="58" spans="1:13" x14ac:dyDescent="0.3">
      <c r="A58" s="21">
        <v>57</v>
      </c>
      <c r="B58" s="6">
        <v>2012</v>
      </c>
      <c r="C58" s="6" t="s">
        <v>15</v>
      </c>
      <c r="D58" s="6">
        <v>57</v>
      </c>
      <c r="E58" s="6">
        <v>46</v>
      </c>
      <c r="F58" s="6">
        <v>5</v>
      </c>
      <c r="G58" s="6">
        <v>2</v>
      </c>
      <c r="H58" s="6">
        <v>123.91</v>
      </c>
      <c r="I58" s="6">
        <v>17</v>
      </c>
      <c r="J58" s="6">
        <v>1</v>
      </c>
      <c r="K58" s="6">
        <v>0</v>
      </c>
      <c r="L58" s="6" t="s">
        <v>20</v>
      </c>
      <c r="M58" s="23">
        <v>28</v>
      </c>
    </row>
    <row r="59" spans="1:13" x14ac:dyDescent="0.3">
      <c r="A59" s="21">
        <v>58</v>
      </c>
      <c r="B59" s="6">
        <v>2012</v>
      </c>
      <c r="C59" s="6" t="s">
        <v>14</v>
      </c>
      <c r="D59" s="6">
        <v>22</v>
      </c>
      <c r="E59" s="6">
        <v>18</v>
      </c>
      <c r="F59" s="6">
        <v>1</v>
      </c>
      <c r="G59" s="6">
        <v>0</v>
      </c>
      <c r="H59" s="6">
        <v>122.22</v>
      </c>
      <c r="I59" s="6">
        <v>3</v>
      </c>
      <c r="J59" s="6">
        <v>0</v>
      </c>
      <c r="K59" s="6">
        <v>0</v>
      </c>
      <c r="L59" s="6" t="s">
        <v>20</v>
      </c>
      <c r="M59" s="23">
        <v>28</v>
      </c>
    </row>
    <row r="60" spans="1:13" x14ac:dyDescent="0.3">
      <c r="A60" s="21">
        <v>59</v>
      </c>
      <c r="B60" s="6">
        <v>2012</v>
      </c>
      <c r="C60" s="6" t="s">
        <v>56</v>
      </c>
      <c r="D60" s="6">
        <v>16</v>
      </c>
      <c r="E60" s="6">
        <v>19</v>
      </c>
      <c r="F60" s="6">
        <v>1</v>
      </c>
      <c r="G60" s="6">
        <v>0</v>
      </c>
      <c r="H60" s="6">
        <v>84.21</v>
      </c>
      <c r="I60" s="6">
        <v>7</v>
      </c>
      <c r="J60" s="6">
        <v>0</v>
      </c>
      <c r="K60" s="6">
        <v>0</v>
      </c>
      <c r="L60" s="6" t="s">
        <v>20</v>
      </c>
      <c r="M60" s="23">
        <v>28</v>
      </c>
    </row>
    <row r="61" spans="1:13" x14ac:dyDescent="0.3">
      <c r="A61" s="21">
        <v>60</v>
      </c>
      <c r="B61" s="6">
        <v>2012</v>
      </c>
      <c r="C61" s="6" t="s">
        <v>18</v>
      </c>
      <c r="D61" s="6">
        <v>4</v>
      </c>
      <c r="E61" s="6">
        <v>4</v>
      </c>
      <c r="F61" s="6">
        <v>1</v>
      </c>
      <c r="G61" s="6">
        <v>0</v>
      </c>
      <c r="H61" s="6">
        <v>100</v>
      </c>
      <c r="I61" s="6">
        <v>2</v>
      </c>
      <c r="J61" s="6">
        <v>0</v>
      </c>
      <c r="K61" s="6">
        <v>0</v>
      </c>
      <c r="L61" s="6" t="s">
        <v>20</v>
      </c>
      <c r="M61" s="23">
        <v>28</v>
      </c>
    </row>
    <row r="62" spans="1:13" x14ac:dyDescent="0.3">
      <c r="A62" s="21">
        <v>61</v>
      </c>
      <c r="B62" s="6">
        <v>2012</v>
      </c>
      <c r="C62" s="6" t="s">
        <v>14</v>
      </c>
      <c r="D62" s="6">
        <v>22</v>
      </c>
      <c r="E62" s="6">
        <v>18</v>
      </c>
      <c r="F62" s="6">
        <v>0</v>
      </c>
      <c r="G62" s="6">
        <v>0</v>
      </c>
      <c r="H62" s="6">
        <v>122.22</v>
      </c>
      <c r="I62" s="6">
        <v>1</v>
      </c>
      <c r="J62" s="6">
        <v>0</v>
      </c>
      <c r="K62" s="6">
        <v>0</v>
      </c>
      <c r="L62" s="6" t="s">
        <v>20</v>
      </c>
      <c r="M62" s="23">
        <v>28</v>
      </c>
    </row>
    <row r="63" spans="1:13" x14ac:dyDescent="0.3">
      <c r="A63" s="21">
        <v>62</v>
      </c>
      <c r="B63" s="6">
        <v>2012</v>
      </c>
      <c r="C63" s="6" t="s">
        <v>12</v>
      </c>
      <c r="D63" s="6">
        <v>18</v>
      </c>
      <c r="E63" s="6">
        <v>19</v>
      </c>
      <c r="F63" s="6">
        <v>3</v>
      </c>
      <c r="G63" s="6">
        <v>0</v>
      </c>
      <c r="H63" s="6">
        <v>94.74</v>
      </c>
      <c r="I63" s="6">
        <v>9</v>
      </c>
      <c r="J63" s="6">
        <v>0</v>
      </c>
      <c r="K63" s="6">
        <v>0</v>
      </c>
      <c r="L63" s="6" t="s">
        <v>20</v>
      </c>
      <c r="M63" s="23">
        <v>28</v>
      </c>
    </row>
    <row r="64" spans="1:13" x14ac:dyDescent="0.3">
      <c r="A64" s="21">
        <v>63</v>
      </c>
      <c r="B64" s="6">
        <v>2012</v>
      </c>
      <c r="C64" s="6" t="s">
        <v>18</v>
      </c>
      <c r="D64" s="6">
        <v>45</v>
      </c>
      <c r="E64" s="6">
        <v>42</v>
      </c>
      <c r="F64" s="6">
        <v>3</v>
      </c>
      <c r="G64" s="6">
        <v>2</v>
      </c>
      <c r="H64" s="6">
        <v>107.14</v>
      </c>
      <c r="I64" s="6">
        <v>11</v>
      </c>
      <c r="J64" s="6">
        <v>0</v>
      </c>
      <c r="K64" s="6">
        <v>0</v>
      </c>
      <c r="L64" s="6" t="s">
        <v>20</v>
      </c>
      <c r="M64" s="23">
        <v>28</v>
      </c>
    </row>
    <row r="65" spans="1:13" x14ac:dyDescent="0.3">
      <c r="A65" s="21">
        <v>64</v>
      </c>
      <c r="B65" s="6">
        <v>2012</v>
      </c>
      <c r="C65" s="6" t="s">
        <v>17</v>
      </c>
      <c r="D65" s="6">
        <v>9</v>
      </c>
      <c r="E65" s="6">
        <v>9</v>
      </c>
      <c r="F65" s="6">
        <v>1</v>
      </c>
      <c r="G65" s="6">
        <v>0</v>
      </c>
      <c r="H65" s="6">
        <v>100</v>
      </c>
      <c r="I65" s="6">
        <v>3</v>
      </c>
      <c r="J65" s="6">
        <v>0</v>
      </c>
      <c r="K65" s="6">
        <v>0</v>
      </c>
      <c r="L65" s="6" t="s">
        <v>20</v>
      </c>
      <c r="M65" s="23">
        <v>28</v>
      </c>
    </row>
    <row r="66" spans="1:13" x14ac:dyDescent="0.3">
      <c r="A66" s="21">
        <v>65</v>
      </c>
      <c r="B66" s="6">
        <v>2012</v>
      </c>
      <c r="C66" s="6" t="s">
        <v>13</v>
      </c>
      <c r="D66" s="6">
        <v>36</v>
      </c>
      <c r="E66" s="6">
        <v>25</v>
      </c>
      <c r="F66" s="6">
        <v>1</v>
      </c>
      <c r="G66" s="6">
        <v>2</v>
      </c>
      <c r="H66" s="6">
        <v>144</v>
      </c>
      <c r="I66" s="6">
        <v>3</v>
      </c>
      <c r="J66" s="6">
        <v>0</v>
      </c>
      <c r="K66" s="6">
        <v>0</v>
      </c>
      <c r="L66" s="6" t="s">
        <v>19</v>
      </c>
      <c r="M66" s="23">
        <v>28</v>
      </c>
    </row>
    <row r="67" spans="1:13" x14ac:dyDescent="0.3">
      <c r="A67" s="21">
        <v>66</v>
      </c>
      <c r="B67" s="6">
        <v>2012</v>
      </c>
      <c r="C67" s="6" t="s">
        <v>56</v>
      </c>
      <c r="D67" s="6">
        <v>9</v>
      </c>
      <c r="E67" s="6">
        <v>12</v>
      </c>
      <c r="F67" s="6">
        <v>1</v>
      </c>
      <c r="G67" s="6">
        <v>0</v>
      </c>
      <c r="H67" s="6">
        <v>75</v>
      </c>
      <c r="I67" s="6">
        <v>5</v>
      </c>
      <c r="J67" s="6">
        <v>0</v>
      </c>
      <c r="K67" s="6">
        <v>0</v>
      </c>
      <c r="L67" s="6" t="s">
        <v>20</v>
      </c>
      <c r="M67" s="23">
        <v>28</v>
      </c>
    </row>
    <row r="68" spans="1:13" x14ac:dyDescent="0.3">
      <c r="A68" s="21">
        <v>67</v>
      </c>
      <c r="B68" s="6">
        <v>2012</v>
      </c>
      <c r="C68" s="6" t="s">
        <v>13</v>
      </c>
      <c r="D68" s="6">
        <v>3</v>
      </c>
      <c r="E68" s="6">
        <v>1</v>
      </c>
      <c r="F68" s="6">
        <v>0</v>
      </c>
      <c r="G68" s="6">
        <v>0</v>
      </c>
      <c r="H68" s="6">
        <v>300</v>
      </c>
      <c r="I68" s="6">
        <v>0</v>
      </c>
      <c r="J68" s="6">
        <v>0</v>
      </c>
      <c r="K68" s="6">
        <v>0</v>
      </c>
      <c r="L68" s="6" t="s">
        <v>20</v>
      </c>
      <c r="M68" s="23">
        <v>28</v>
      </c>
    </row>
    <row r="69" spans="1:13" x14ac:dyDescent="0.3">
      <c r="A69" s="21">
        <v>68</v>
      </c>
      <c r="B69" s="6">
        <v>2012</v>
      </c>
      <c r="C69" s="6" t="s">
        <v>16</v>
      </c>
      <c r="D69" s="6">
        <v>67</v>
      </c>
      <c r="E69" s="6">
        <v>53</v>
      </c>
      <c r="F69" s="6">
        <v>9</v>
      </c>
      <c r="G69" s="6">
        <v>1</v>
      </c>
      <c r="H69" s="6">
        <v>137.74</v>
      </c>
      <c r="I69" s="6">
        <v>22</v>
      </c>
      <c r="J69" s="6">
        <v>1</v>
      </c>
      <c r="K69" s="6">
        <v>0</v>
      </c>
      <c r="L69" s="6" t="s">
        <v>19</v>
      </c>
      <c r="M69" s="23">
        <v>28</v>
      </c>
    </row>
    <row r="70" spans="1:13" x14ac:dyDescent="0.3">
      <c r="A70" s="21">
        <v>69</v>
      </c>
      <c r="B70" s="6">
        <v>2012</v>
      </c>
      <c r="C70" s="6" t="s">
        <v>17</v>
      </c>
      <c r="D70" s="6">
        <v>42</v>
      </c>
      <c r="E70" s="6">
        <v>40</v>
      </c>
      <c r="F70" s="6">
        <v>2</v>
      </c>
      <c r="G70" s="6">
        <v>2</v>
      </c>
      <c r="H70" s="6">
        <v>105</v>
      </c>
      <c r="I70" s="6">
        <v>15</v>
      </c>
      <c r="J70" s="6">
        <v>0</v>
      </c>
      <c r="K70" s="6">
        <v>0</v>
      </c>
      <c r="L70" s="6" t="s">
        <v>20</v>
      </c>
      <c r="M70" s="23">
        <v>28</v>
      </c>
    </row>
    <row r="71" spans="1:13" x14ac:dyDescent="0.3">
      <c r="A71" s="21">
        <v>70</v>
      </c>
      <c r="B71" s="1">
        <v>2013</v>
      </c>
      <c r="C71" s="1" t="s">
        <v>13</v>
      </c>
      <c r="D71" s="1">
        <v>24</v>
      </c>
      <c r="E71" s="1">
        <v>14</v>
      </c>
      <c r="F71" s="1">
        <v>4</v>
      </c>
      <c r="G71" s="1">
        <v>1</v>
      </c>
      <c r="H71" s="1">
        <v>171.43</v>
      </c>
      <c r="I71" s="1">
        <v>4</v>
      </c>
      <c r="J71" s="1">
        <v>0</v>
      </c>
      <c r="K71" s="1">
        <v>0</v>
      </c>
      <c r="L71" s="1" t="s">
        <v>20</v>
      </c>
      <c r="M71" s="22">
        <v>24</v>
      </c>
    </row>
    <row r="72" spans="1:13" x14ac:dyDescent="0.3">
      <c r="A72" s="21">
        <v>71</v>
      </c>
      <c r="B72" s="1">
        <v>2013</v>
      </c>
      <c r="C72" s="1" t="s">
        <v>53</v>
      </c>
      <c r="D72" s="1">
        <v>46</v>
      </c>
      <c r="E72" s="1">
        <v>44</v>
      </c>
      <c r="F72" s="1">
        <v>5</v>
      </c>
      <c r="G72" s="1">
        <v>1</v>
      </c>
      <c r="H72" s="1">
        <v>104.55</v>
      </c>
      <c r="I72" s="1">
        <v>22</v>
      </c>
      <c r="J72" s="1">
        <v>0</v>
      </c>
      <c r="K72" s="1">
        <v>0</v>
      </c>
      <c r="L72" s="1" t="s">
        <v>20</v>
      </c>
      <c r="M72" s="22">
        <v>35</v>
      </c>
    </row>
    <row r="73" spans="1:13" x14ac:dyDescent="0.3">
      <c r="A73" s="21">
        <v>72</v>
      </c>
      <c r="B73" s="1">
        <v>2013</v>
      </c>
      <c r="C73" s="1" t="s">
        <v>53</v>
      </c>
      <c r="D73" s="1">
        <v>93</v>
      </c>
      <c r="E73" s="1">
        <v>47</v>
      </c>
      <c r="F73" s="1">
        <v>11</v>
      </c>
      <c r="G73" s="1">
        <v>4</v>
      </c>
      <c r="H73" s="1">
        <v>197.87</v>
      </c>
      <c r="I73" s="1">
        <v>10</v>
      </c>
      <c r="J73" s="1">
        <v>1</v>
      </c>
      <c r="K73" s="1">
        <v>0</v>
      </c>
      <c r="L73" s="1" t="s">
        <v>19</v>
      </c>
      <c r="M73" s="22">
        <v>81.5</v>
      </c>
    </row>
    <row r="74" spans="1:13" x14ac:dyDescent="0.3">
      <c r="A74" s="21">
        <v>73</v>
      </c>
      <c r="B74" s="1">
        <v>2013</v>
      </c>
      <c r="C74" s="1" t="s">
        <v>12</v>
      </c>
      <c r="D74" s="1">
        <v>35</v>
      </c>
      <c r="E74" s="1">
        <v>27</v>
      </c>
      <c r="F74" s="1">
        <v>4</v>
      </c>
      <c r="G74" s="1">
        <v>2</v>
      </c>
      <c r="H74" s="1">
        <v>129.63</v>
      </c>
      <c r="I74" s="1">
        <v>17</v>
      </c>
      <c r="J74" s="1">
        <v>0</v>
      </c>
      <c r="K74" s="1">
        <v>0</v>
      </c>
      <c r="L74" s="1" t="s">
        <v>33</v>
      </c>
      <c r="M74" s="22">
        <v>66</v>
      </c>
    </row>
    <row r="75" spans="1:13" x14ac:dyDescent="0.3">
      <c r="A75" s="21">
        <v>74</v>
      </c>
      <c r="B75" s="1">
        <v>2013</v>
      </c>
      <c r="C75" s="1" t="s">
        <v>15</v>
      </c>
      <c r="D75" s="1">
        <v>58</v>
      </c>
      <c r="E75" s="1">
        <v>47</v>
      </c>
      <c r="F75" s="1">
        <v>2</v>
      </c>
      <c r="G75" s="1">
        <v>2</v>
      </c>
      <c r="H75" s="1">
        <v>123.4</v>
      </c>
      <c r="I75" s="1">
        <v>5</v>
      </c>
      <c r="J75" s="1">
        <v>1</v>
      </c>
      <c r="K75" s="1">
        <v>0</v>
      </c>
      <c r="L75" s="1" t="s">
        <v>33</v>
      </c>
      <c r="M75" s="22">
        <v>64</v>
      </c>
    </row>
    <row r="76" spans="1:13" x14ac:dyDescent="0.3">
      <c r="A76" s="21">
        <v>75</v>
      </c>
      <c r="B76" s="1">
        <v>2013</v>
      </c>
      <c r="C76" s="1" t="s">
        <v>16</v>
      </c>
      <c r="D76" s="1">
        <v>65</v>
      </c>
      <c r="E76" s="1">
        <v>50</v>
      </c>
      <c r="F76" s="1">
        <v>7</v>
      </c>
      <c r="G76" s="1">
        <v>1</v>
      </c>
      <c r="H76" s="1">
        <v>130</v>
      </c>
      <c r="I76" s="1">
        <v>15</v>
      </c>
      <c r="J76" s="1">
        <v>1</v>
      </c>
      <c r="K76" s="1">
        <v>0</v>
      </c>
      <c r="L76" s="1" t="s">
        <v>33</v>
      </c>
      <c r="M76" s="22">
        <v>64.2</v>
      </c>
    </row>
    <row r="77" spans="1:13" x14ac:dyDescent="0.3">
      <c r="A77" s="21">
        <v>76</v>
      </c>
      <c r="B77" s="1">
        <v>2013</v>
      </c>
      <c r="C77" s="1" t="s">
        <v>14</v>
      </c>
      <c r="D77" s="1">
        <v>1</v>
      </c>
      <c r="E77" s="1">
        <v>4</v>
      </c>
      <c r="F77" s="1">
        <v>0</v>
      </c>
      <c r="G77" s="1">
        <v>0</v>
      </c>
      <c r="H77" s="1">
        <v>25</v>
      </c>
      <c r="I77" s="1">
        <v>2</v>
      </c>
      <c r="J77" s="1">
        <v>0</v>
      </c>
      <c r="K77" s="1">
        <v>0</v>
      </c>
      <c r="L77" s="1" t="s">
        <v>33</v>
      </c>
      <c r="M77" s="22">
        <v>53.67</v>
      </c>
    </row>
    <row r="78" spans="1:13" x14ac:dyDescent="0.3">
      <c r="A78" s="21">
        <v>77</v>
      </c>
      <c r="B78" s="1">
        <v>2013</v>
      </c>
      <c r="C78" s="1" t="s">
        <v>56</v>
      </c>
      <c r="D78" s="1">
        <v>11</v>
      </c>
      <c r="E78" s="1">
        <v>9</v>
      </c>
      <c r="F78" s="1">
        <v>0</v>
      </c>
      <c r="G78" s="1">
        <v>1</v>
      </c>
      <c r="H78" s="1">
        <v>122.22</v>
      </c>
      <c r="I78" s="1">
        <v>2</v>
      </c>
      <c r="J78" s="1">
        <v>0</v>
      </c>
      <c r="K78" s="1">
        <v>0</v>
      </c>
      <c r="L78" s="1" t="s">
        <v>33</v>
      </c>
      <c r="M78" s="22">
        <v>47.57</v>
      </c>
    </row>
    <row r="79" spans="1:13" x14ac:dyDescent="0.3">
      <c r="A79" s="21">
        <v>78</v>
      </c>
      <c r="B79" s="1">
        <v>2013</v>
      </c>
      <c r="C79" s="1" t="s">
        <v>13</v>
      </c>
      <c r="D79" s="1">
        <v>1</v>
      </c>
      <c r="E79" s="1">
        <v>4</v>
      </c>
      <c r="F79" s="1">
        <v>0</v>
      </c>
      <c r="G79" s="1">
        <v>0</v>
      </c>
      <c r="H79" s="1">
        <v>25</v>
      </c>
      <c r="I79" s="1">
        <v>2</v>
      </c>
      <c r="J79" s="1">
        <v>0</v>
      </c>
      <c r="K79" s="1">
        <v>0</v>
      </c>
      <c r="L79" s="1" t="s">
        <v>33</v>
      </c>
      <c r="M79" s="22">
        <v>41.75</v>
      </c>
    </row>
    <row r="80" spans="1:13" x14ac:dyDescent="0.3">
      <c r="A80" s="21">
        <v>79</v>
      </c>
      <c r="B80" s="1">
        <v>2013</v>
      </c>
      <c r="C80" s="1" t="s">
        <v>14</v>
      </c>
      <c r="D80" s="1">
        <v>32</v>
      </c>
      <c r="E80" s="1">
        <v>35</v>
      </c>
      <c r="F80" s="1">
        <v>3</v>
      </c>
      <c r="G80" s="1">
        <v>0</v>
      </c>
      <c r="H80" s="1">
        <v>91.33</v>
      </c>
      <c r="I80" s="1">
        <v>13</v>
      </c>
      <c r="J80" s="1">
        <v>0</v>
      </c>
      <c r="K80" s="1">
        <v>0</v>
      </c>
      <c r="L80" s="1" t="s">
        <v>33</v>
      </c>
      <c r="M80" s="22">
        <v>40.67</v>
      </c>
    </row>
    <row r="81" spans="1:13" x14ac:dyDescent="0.3">
      <c r="A81" s="21">
        <v>80</v>
      </c>
      <c r="B81" s="1">
        <v>2013</v>
      </c>
      <c r="C81" s="1" t="s">
        <v>56</v>
      </c>
      <c r="D81" s="1">
        <v>25</v>
      </c>
      <c r="E81" s="1">
        <v>18</v>
      </c>
      <c r="F81" s="1">
        <v>3</v>
      </c>
      <c r="G81" s="1">
        <v>0</v>
      </c>
      <c r="H81" s="1">
        <v>138.88999999999999</v>
      </c>
      <c r="I81" s="1">
        <v>4</v>
      </c>
      <c r="J81" s="1">
        <v>0</v>
      </c>
      <c r="K81" s="1">
        <v>0</v>
      </c>
      <c r="L81" s="1" t="s">
        <v>33</v>
      </c>
      <c r="M81" s="22">
        <v>39.1</v>
      </c>
    </row>
    <row r="82" spans="1:13" x14ac:dyDescent="0.3">
      <c r="A82" s="21">
        <v>81</v>
      </c>
      <c r="B82" s="1">
        <v>2013</v>
      </c>
      <c r="C82" s="1" t="s">
        <v>18</v>
      </c>
      <c r="D82" s="1">
        <v>14</v>
      </c>
      <c r="E82" s="1">
        <v>14</v>
      </c>
      <c r="F82" s="1">
        <v>1</v>
      </c>
      <c r="G82" s="1">
        <v>0</v>
      </c>
      <c r="H82" s="1">
        <v>100</v>
      </c>
      <c r="I82" s="1">
        <v>4</v>
      </c>
      <c r="J82" s="1">
        <v>0</v>
      </c>
      <c r="K82" s="1">
        <v>0</v>
      </c>
      <c r="L82" s="1" t="s">
        <v>33</v>
      </c>
      <c r="M82" s="22">
        <v>36.82</v>
      </c>
    </row>
    <row r="83" spans="1:13" x14ac:dyDescent="0.3">
      <c r="A83" s="21">
        <v>82</v>
      </c>
      <c r="B83" s="1">
        <v>2013</v>
      </c>
      <c r="C83" s="1" t="s">
        <v>16</v>
      </c>
      <c r="D83" s="1">
        <v>99</v>
      </c>
      <c r="E83" s="1">
        <v>58</v>
      </c>
      <c r="F83" s="1">
        <v>10</v>
      </c>
      <c r="G83" s="1">
        <v>4</v>
      </c>
      <c r="H83" s="1">
        <v>170.69</v>
      </c>
      <c r="I83" s="1">
        <v>15</v>
      </c>
      <c r="J83" s="1">
        <v>1</v>
      </c>
      <c r="K83" s="1">
        <v>0</v>
      </c>
      <c r="L83" s="1" t="s">
        <v>33</v>
      </c>
      <c r="M83" s="22">
        <v>42</v>
      </c>
    </row>
    <row r="84" spans="1:13" x14ac:dyDescent="0.3">
      <c r="A84" s="21">
        <v>83</v>
      </c>
      <c r="B84" s="1">
        <v>2013</v>
      </c>
      <c r="C84" s="1" t="s">
        <v>12</v>
      </c>
      <c r="D84" s="1">
        <v>17</v>
      </c>
      <c r="E84" s="1">
        <v>14</v>
      </c>
      <c r="F84" s="1">
        <v>2</v>
      </c>
      <c r="G84" s="1">
        <v>0</v>
      </c>
      <c r="H84" s="1">
        <v>121.43</v>
      </c>
      <c r="I84" s="1">
        <v>3</v>
      </c>
      <c r="J84" s="1">
        <v>0</v>
      </c>
      <c r="K84" s="1">
        <v>0</v>
      </c>
      <c r="L84" s="1" t="s">
        <v>33</v>
      </c>
      <c r="M84" s="22">
        <v>40.08</v>
      </c>
    </row>
    <row r="85" spans="1:13" x14ac:dyDescent="0.3">
      <c r="A85" s="21">
        <v>84</v>
      </c>
      <c r="B85" s="1">
        <v>2013</v>
      </c>
      <c r="C85" s="1" t="s">
        <v>18</v>
      </c>
      <c r="D85" s="1">
        <v>57</v>
      </c>
      <c r="E85" s="1">
        <v>43</v>
      </c>
      <c r="F85" s="1">
        <v>6</v>
      </c>
      <c r="G85" s="1">
        <v>2</v>
      </c>
      <c r="H85" s="1">
        <v>132.56</v>
      </c>
      <c r="I85" s="1">
        <v>21</v>
      </c>
      <c r="J85" s="1">
        <v>1</v>
      </c>
      <c r="K85" s="1">
        <v>0</v>
      </c>
      <c r="L85" s="1" t="s">
        <v>33</v>
      </c>
      <c r="M85" s="22">
        <v>41.29</v>
      </c>
    </row>
    <row r="86" spans="1:13" x14ac:dyDescent="0.3">
      <c r="A86" s="21">
        <v>85</v>
      </c>
      <c r="B86" s="1">
        <v>2013</v>
      </c>
      <c r="C86" s="1" t="s">
        <v>15</v>
      </c>
      <c r="D86" s="1">
        <v>56</v>
      </c>
      <c r="E86" s="1">
        <v>29</v>
      </c>
      <c r="F86" s="1">
        <v>6</v>
      </c>
      <c r="G86" s="1">
        <v>4</v>
      </c>
      <c r="H86" s="1">
        <v>193.1</v>
      </c>
      <c r="I86" s="1">
        <v>12</v>
      </c>
      <c r="J86" s="1">
        <v>1</v>
      </c>
      <c r="K86" s="1">
        <v>0</v>
      </c>
      <c r="L86" s="1" t="s">
        <v>19</v>
      </c>
      <c r="M86" s="22">
        <v>45.29</v>
      </c>
    </row>
    <row r="87" spans="1:13" x14ac:dyDescent="0.3">
      <c r="A87" s="21">
        <v>86</v>
      </c>
      <c r="B87" s="6">
        <v>2014</v>
      </c>
      <c r="C87" s="6" t="s">
        <v>16</v>
      </c>
      <c r="D87" s="6">
        <v>49</v>
      </c>
      <c r="E87" s="6">
        <v>38</v>
      </c>
      <c r="F87" s="6">
        <v>2</v>
      </c>
      <c r="G87" s="6">
        <v>3</v>
      </c>
      <c r="H87" s="6">
        <v>128.94999999999999</v>
      </c>
      <c r="I87" s="6">
        <v>10</v>
      </c>
      <c r="J87" s="6">
        <v>0</v>
      </c>
      <c r="K87" s="6">
        <v>0</v>
      </c>
      <c r="L87" s="6" t="s">
        <v>19</v>
      </c>
      <c r="M87" s="23">
        <v>0</v>
      </c>
    </row>
    <row r="88" spans="1:13" x14ac:dyDescent="0.3">
      <c r="A88" s="21">
        <v>87</v>
      </c>
      <c r="B88" s="6">
        <v>2014</v>
      </c>
      <c r="C88" s="6" t="s">
        <v>13</v>
      </c>
      <c r="D88" s="6">
        <v>0</v>
      </c>
      <c r="E88" s="6">
        <v>2</v>
      </c>
      <c r="F88" s="6">
        <v>0</v>
      </c>
      <c r="G88" s="6">
        <v>0</v>
      </c>
      <c r="H88" s="6">
        <v>0</v>
      </c>
      <c r="I88" s="6">
        <v>2</v>
      </c>
      <c r="J88" s="6">
        <v>0</v>
      </c>
      <c r="K88" s="6">
        <v>0</v>
      </c>
      <c r="L88" s="6" t="s">
        <v>20</v>
      </c>
      <c r="M88" s="23">
        <v>49</v>
      </c>
    </row>
    <row r="89" spans="1:13" x14ac:dyDescent="0.3">
      <c r="A89" s="21">
        <v>88</v>
      </c>
      <c r="B89" s="6">
        <v>2014</v>
      </c>
      <c r="C89" s="6" t="s">
        <v>12</v>
      </c>
      <c r="D89" s="6">
        <v>31</v>
      </c>
      <c r="E89" s="6">
        <v>23</v>
      </c>
      <c r="F89" s="6">
        <v>4</v>
      </c>
      <c r="G89" s="6">
        <v>0</v>
      </c>
      <c r="H89" s="6">
        <v>134.78</v>
      </c>
      <c r="I89" s="6">
        <v>4</v>
      </c>
      <c r="J89" s="6">
        <v>0</v>
      </c>
      <c r="K89" s="6">
        <v>0</v>
      </c>
      <c r="L89" s="6" t="s">
        <v>20</v>
      </c>
      <c r="M89" s="23">
        <v>40</v>
      </c>
    </row>
    <row r="90" spans="1:13" x14ac:dyDescent="0.3">
      <c r="A90" s="21">
        <v>89</v>
      </c>
      <c r="B90" s="6">
        <v>2014</v>
      </c>
      <c r="C90" s="6" t="s">
        <v>14</v>
      </c>
      <c r="D90" s="6">
        <v>21</v>
      </c>
      <c r="E90" s="6">
        <v>25</v>
      </c>
      <c r="F90" s="6">
        <v>3</v>
      </c>
      <c r="G90" s="6">
        <v>0</v>
      </c>
      <c r="H90" s="6">
        <v>84</v>
      </c>
      <c r="I90" s="6">
        <v>13</v>
      </c>
      <c r="J90" s="6">
        <v>0</v>
      </c>
      <c r="K90" s="6">
        <v>0</v>
      </c>
      <c r="L90" s="6" t="s">
        <v>20</v>
      </c>
      <c r="M90" s="23">
        <v>33.67</v>
      </c>
    </row>
    <row r="91" spans="1:13" x14ac:dyDescent="0.3">
      <c r="A91" s="21">
        <v>90</v>
      </c>
      <c r="B91" s="6">
        <v>2014</v>
      </c>
      <c r="C91" s="6" t="s">
        <v>18</v>
      </c>
      <c r="D91" s="6">
        <v>4</v>
      </c>
      <c r="E91" s="6">
        <v>2</v>
      </c>
      <c r="F91" s="6">
        <v>1</v>
      </c>
      <c r="G91" s="6">
        <v>0</v>
      </c>
      <c r="H91" s="6">
        <v>200</v>
      </c>
      <c r="I91" s="6">
        <v>1</v>
      </c>
      <c r="J91" s="6">
        <v>0</v>
      </c>
      <c r="K91" s="6">
        <v>0</v>
      </c>
      <c r="L91" s="6" t="s">
        <v>20</v>
      </c>
      <c r="M91" s="23">
        <v>26.25</v>
      </c>
    </row>
    <row r="92" spans="1:13" x14ac:dyDescent="0.3">
      <c r="A92" s="21">
        <v>91</v>
      </c>
      <c r="B92" s="6">
        <v>2014</v>
      </c>
      <c r="C92" s="6" t="s">
        <v>53</v>
      </c>
      <c r="D92" s="6">
        <v>0</v>
      </c>
      <c r="E92" s="6">
        <v>5</v>
      </c>
      <c r="F92" s="6">
        <v>0</v>
      </c>
      <c r="G92" s="6">
        <v>0</v>
      </c>
      <c r="H92" s="6">
        <v>0</v>
      </c>
      <c r="I92" s="6">
        <v>5</v>
      </c>
      <c r="J92" s="6">
        <v>0</v>
      </c>
      <c r="K92" s="6">
        <v>0</v>
      </c>
      <c r="L92" s="6" t="s">
        <v>20</v>
      </c>
      <c r="M92" s="23">
        <v>21</v>
      </c>
    </row>
    <row r="93" spans="1:13" x14ac:dyDescent="0.3">
      <c r="A93" s="21">
        <v>92</v>
      </c>
      <c r="B93" s="6">
        <v>2014</v>
      </c>
      <c r="C93" s="6" t="s">
        <v>13</v>
      </c>
      <c r="D93" s="6">
        <v>35</v>
      </c>
      <c r="E93" s="6">
        <v>28</v>
      </c>
      <c r="F93" s="6">
        <v>2</v>
      </c>
      <c r="G93" s="6">
        <v>2</v>
      </c>
      <c r="H93" s="6">
        <v>125</v>
      </c>
      <c r="I93" s="6">
        <v>9</v>
      </c>
      <c r="J93" s="6">
        <v>0</v>
      </c>
      <c r="K93" s="6">
        <v>0</v>
      </c>
      <c r="L93" s="6" t="s">
        <v>20</v>
      </c>
      <c r="M93" s="23">
        <v>23.33</v>
      </c>
    </row>
    <row r="94" spans="1:13" x14ac:dyDescent="0.3">
      <c r="A94" s="21">
        <v>93</v>
      </c>
      <c r="B94" s="6">
        <v>2014</v>
      </c>
      <c r="C94" s="6" t="s">
        <v>18</v>
      </c>
      <c r="D94" s="6">
        <v>0</v>
      </c>
      <c r="E94" s="6">
        <v>1</v>
      </c>
      <c r="F94" s="6">
        <v>0</v>
      </c>
      <c r="G94" s="6">
        <v>0</v>
      </c>
      <c r="H94" s="6">
        <v>0</v>
      </c>
      <c r="I94" s="6">
        <v>1</v>
      </c>
      <c r="J94" s="6">
        <v>0</v>
      </c>
      <c r="K94" s="6">
        <v>0</v>
      </c>
      <c r="L94" s="6" t="s">
        <v>20</v>
      </c>
      <c r="M94" s="23">
        <v>20</v>
      </c>
    </row>
    <row r="95" spans="1:13" x14ac:dyDescent="0.3">
      <c r="A95" s="21">
        <v>94</v>
      </c>
      <c r="B95" s="6">
        <v>2014</v>
      </c>
      <c r="C95" s="6" t="s">
        <v>14</v>
      </c>
      <c r="D95" s="6">
        <v>4</v>
      </c>
      <c r="E95" s="6">
        <v>9</v>
      </c>
      <c r="F95" s="6">
        <v>1</v>
      </c>
      <c r="G95" s="6">
        <v>0</v>
      </c>
      <c r="H95" s="6">
        <v>44.44</v>
      </c>
      <c r="I95" s="6">
        <v>8</v>
      </c>
      <c r="J95" s="6">
        <v>0</v>
      </c>
      <c r="K95" s="6">
        <v>0</v>
      </c>
      <c r="L95" s="6" t="s">
        <v>20</v>
      </c>
      <c r="M95" s="23">
        <v>18</v>
      </c>
    </row>
    <row r="96" spans="1:13" x14ac:dyDescent="0.3">
      <c r="A96" s="21">
        <v>95</v>
      </c>
      <c r="B96" s="6">
        <v>2014</v>
      </c>
      <c r="C96" s="6" t="s">
        <v>16</v>
      </c>
      <c r="D96" s="6">
        <v>10</v>
      </c>
      <c r="E96" s="6">
        <v>11</v>
      </c>
      <c r="F96" s="6">
        <v>0</v>
      </c>
      <c r="G96" s="6">
        <v>0</v>
      </c>
      <c r="H96" s="6">
        <v>90.91</v>
      </c>
      <c r="I96" s="6">
        <v>1</v>
      </c>
      <c r="J96" s="6">
        <v>0</v>
      </c>
      <c r="K96" s="6">
        <v>0</v>
      </c>
      <c r="L96" s="6" t="s">
        <v>20</v>
      </c>
      <c r="M96" s="23">
        <v>17.11</v>
      </c>
    </row>
    <row r="97" spans="1:13" x14ac:dyDescent="0.3">
      <c r="A97" s="21">
        <v>96</v>
      </c>
      <c r="B97" s="6">
        <v>2014</v>
      </c>
      <c r="C97" s="6" t="s">
        <v>15</v>
      </c>
      <c r="D97" s="6">
        <v>27</v>
      </c>
      <c r="E97" s="6">
        <v>29</v>
      </c>
      <c r="F97" s="6">
        <v>1</v>
      </c>
      <c r="G97" s="6">
        <v>1</v>
      </c>
      <c r="H97" s="6">
        <v>93.1</v>
      </c>
      <c r="I97" s="6">
        <v>10</v>
      </c>
      <c r="J97" s="6">
        <v>0</v>
      </c>
      <c r="K97" s="6">
        <v>0</v>
      </c>
      <c r="L97" s="6" t="s">
        <v>20</v>
      </c>
      <c r="M97" s="23">
        <v>18.100000000000001</v>
      </c>
    </row>
    <row r="98" spans="1:13" x14ac:dyDescent="0.3">
      <c r="A98" s="21">
        <v>97</v>
      </c>
      <c r="B98" s="6">
        <v>2014</v>
      </c>
      <c r="C98" s="6" t="s">
        <v>53</v>
      </c>
      <c r="D98" s="6">
        <v>67</v>
      </c>
      <c r="E98" s="6">
        <v>41</v>
      </c>
      <c r="F98" s="6">
        <v>4</v>
      </c>
      <c r="G98" s="6">
        <v>4</v>
      </c>
      <c r="H98" s="6">
        <v>163.41</v>
      </c>
      <c r="I98" s="6">
        <v>6</v>
      </c>
      <c r="J98" s="6">
        <v>1</v>
      </c>
      <c r="K98" s="6">
        <v>0</v>
      </c>
      <c r="L98" s="6" t="s">
        <v>20</v>
      </c>
      <c r="M98" s="23">
        <v>22.55</v>
      </c>
    </row>
    <row r="99" spans="1:13" x14ac:dyDescent="0.3">
      <c r="A99" s="21">
        <v>98</v>
      </c>
      <c r="B99" s="6">
        <v>2014</v>
      </c>
      <c r="C99" s="6" t="s">
        <v>12</v>
      </c>
      <c r="D99" s="6">
        <v>38</v>
      </c>
      <c r="E99" s="6">
        <v>31</v>
      </c>
      <c r="F99" s="6">
        <v>3</v>
      </c>
      <c r="G99" s="6">
        <v>1</v>
      </c>
      <c r="H99" s="6">
        <v>122.58</v>
      </c>
      <c r="I99" s="6">
        <v>7</v>
      </c>
      <c r="J99" s="6">
        <v>0</v>
      </c>
      <c r="K99" s="6">
        <v>0</v>
      </c>
      <c r="L99" s="6" t="s">
        <v>20</v>
      </c>
      <c r="M99" s="23">
        <v>23.83</v>
      </c>
    </row>
    <row r="100" spans="1:13" x14ac:dyDescent="0.3">
      <c r="A100" s="21">
        <v>99</v>
      </c>
      <c r="B100" s="6">
        <v>2014</v>
      </c>
      <c r="C100" s="6" t="s">
        <v>15</v>
      </c>
      <c r="D100" s="6">
        <v>73</v>
      </c>
      <c r="E100" s="6">
        <v>49</v>
      </c>
      <c r="F100" s="6">
        <v>2</v>
      </c>
      <c r="G100" s="6">
        <v>5</v>
      </c>
      <c r="H100" s="6">
        <v>148.97999999999999</v>
      </c>
      <c r="I100" s="6">
        <v>7</v>
      </c>
      <c r="J100" s="6">
        <v>1</v>
      </c>
      <c r="K100" s="6">
        <v>0</v>
      </c>
      <c r="L100" s="6" t="s">
        <v>20</v>
      </c>
      <c r="M100" s="23">
        <v>27.62</v>
      </c>
    </row>
    <row r="101" spans="1:13" x14ac:dyDescent="0.3">
      <c r="A101" s="21">
        <v>100</v>
      </c>
      <c r="B101" s="6">
        <v>2015</v>
      </c>
      <c r="C101" s="6" t="s">
        <v>12</v>
      </c>
      <c r="D101" s="6">
        <v>13</v>
      </c>
      <c r="E101" s="6">
        <v>15</v>
      </c>
      <c r="F101" s="6">
        <v>0</v>
      </c>
      <c r="G101" s="6">
        <v>1</v>
      </c>
      <c r="H101" s="6">
        <v>86.67</v>
      </c>
      <c r="I101" s="6">
        <v>2</v>
      </c>
      <c r="J101" s="6">
        <v>0</v>
      </c>
      <c r="K101" s="6">
        <v>0</v>
      </c>
      <c r="L101" s="6" t="s">
        <v>20</v>
      </c>
      <c r="M101" s="23">
        <v>13</v>
      </c>
    </row>
    <row r="102" spans="1:13" x14ac:dyDescent="0.3">
      <c r="A102" s="21">
        <v>101</v>
      </c>
      <c r="B102" s="6">
        <v>2015</v>
      </c>
      <c r="C102" s="6" t="s">
        <v>53</v>
      </c>
      <c r="D102" s="6">
        <v>41</v>
      </c>
      <c r="E102" s="6">
        <v>37</v>
      </c>
      <c r="F102" s="6">
        <v>4</v>
      </c>
      <c r="G102" s="6">
        <v>2</v>
      </c>
      <c r="H102" s="6">
        <v>110.81</v>
      </c>
      <c r="I102" s="6">
        <v>5</v>
      </c>
      <c r="J102" s="6">
        <v>0</v>
      </c>
      <c r="K102" s="6">
        <v>0</v>
      </c>
      <c r="L102" s="6" t="s">
        <v>20</v>
      </c>
      <c r="M102" s="23">
        <v>27</v>
      </c>
    </row>
    <row r="103" spans="1:13" x14ac:dyDescent="0.3">
      <c r="A103" s="21">
        <v>102</v>
      </c>
      <c r="B103" s="6">
        <v>2015</v>
      </c>
      <c r="C103" s="6" t="s">
        <v>13</v>
      </c>
      <c r="D103" s="6">
        <v>18</v>
      </c>
      <c r="E103" s="6">
        <v>18</v>
      </c>
      <c r="F103" s="6">
        <v>1</v>
      </c>
      <c r="G103" s="6">
        <v>1</v>
      </c>
      <c r="H103" s="6">
        <v>100</v>
      </c>
      <c r="I103" s="6">
        <v>0</v>
      </c>
      <c r="J103" s="6">
        <v>0</v>
      </c>
      <c r="K103" s="6">
        <v>0</v>
      </c>
      <c r="L103" s="6" t="s">
        <v>20</v>
      </c>
      <c r="M103" s="23">
        <v>24</v>
      </c>
    </row>
    <row r="104" spans="1:13" x14ac:dyDescent="0.3">
      <c r="A104" s="21">
        <v>103</v>
      </c>
      <c r="B104" s="6">
        <v>2015</v>
      </c>
      <c r="C104" s="6" t="s">
        <v>15</v>
      </c>
      <c r="D104" s="6">
        <v>51</v>
      </c>
      <c r="E104" s="6">
        <v>42</v>
      </c>
      <c r="F104" s="6">
        <v>4</v>
      </c>
      <c r="G104" s="6">
        <v>2</v>
      </c>
      <c r="H104" s="6">
        <v>121.43</v>
      </c>
      <c r="I104" s="6">
        <v>12</v>
      </c>
      <c r="J104" s="6">
        <v>1</v>
      </c>
      <c r="K104" s="6">
        <v>0</v>
      </c>
      <c r="L104" s="6" t="s">
        <v>20</v>
      </c>
      <c r="M104" s="23">
        <v>30.75</v>
      </c>
    </row>
    <row r="105" spans="1:13" x14ac:dyDescent="0.3">
      <c r="A105" s="21">
        <v>104</v>
      </c>
      <c r="B105" s="6">
        <v>2015</v>
      </c>
      <c r="C105" s="6" t="s">
        <v>14</v>
      </c>
      <c r="D105" s="6">
        <v>62</v>
      </c>
      <c r="E105" s="6">
        <v>46</v>
      </c>
      <c r="F105" s="6">
        <v>1</v>
      </c>
      <c r="G105" s="6">
        <v>3</v>
      </c>
      <c r="H105" s="6">
        <v>134.78</v>
      </c>
      <c r="I105" s="6">
        <v>6</v>
      </c>
      <c r="J105" s="6">
        <v>1</v>
      </c>
      <c r="K105" s="6">
        <v>0</v>
      </c>
      <c r="L105" s="6" t="s">
        <v>33</v>
      </c>
      <c r="M105" s="23">
        <v>35</v>
      </c>
    </row>
    <row r="106" spans="1:13" x14ac:dyDescent="0.3">
      <c r="A106" s="21">
        <v>105</v>
      </c>
      <c r="B106" s="6">
        <v>2015</v>
      </c>
      <c r="C106" s="6" t="s">
        <v>16</v>
      </c>
      <c r="D106" s="6">
        <v>35</v>
      </c>
      <c r="E106" s="6">
        <v>23</v>
      </c>
      <c r="F106" s="6">
        <v>6</v>
      </c>
      <c r="G106" s="6">
        <v>0</v>
      </c>
      <c r="H106" s="6">
        <v>152.16999999999999</v>
      </c>
      <c r="I106" s="6">
        <v>5</v>
      </c>
      <c r="J106" s="6">
        <v>0</v>
      </c>
      <c r="K106" s="6">
        <v>0</v>
      </c>
      <c r="L106" s="6" t="s">
        <v>19</v>
      </c>
      <c r="M106" s="23">
        <v>39.5</v>
      </c>
    </row>
    <row r="107" spans="1:13" x14ac:dyDescent="0.3">
      <c r="A107" s="21">
        <v>106</v>
      </c>
      <c r="B107" s="6">
        <v>2015</v>
      </c>
      <c r="C107" s="6" t="s">
        <v>14</v>
      </c>
      <c r="D107" s="6">
        <v>1</v>
      </c>
      <c r="E107" s="6">
        <v>4</v>
      </c>
      <c r="F107" s="6">
        <v>0</v>
      </c>
      <c r="G107" s="6">
        <v>0</v>
      </c>
      <c r="H107" s="6">
        <v>25</v>
      </c>
      <c r="I107" s="6">
        <v>2</v>
      </c>
      <c r="J107" s="6">
        <v>0</v>
      </c>
      <c r="K107" s="6">
        <v>0</v>
      </c>
      <c r="L107" s="6" t="s">
        <v>20</v>
      </c>
      <c r="M107" s="23">
        <v>31.8</v>
      </c>
    </row>
    <row r="108" spans="1:13" x14ac:dyDescent="0.3">
      <c r="A108" s="21">
        <v>107</v>
      </c>
      <c r="B108" s="6">
        <v>2015</v>
      </c>
      <c r="C108" s="6" t="s">
        <v>12</v>
      </c>
      <c r="D108" s="6">
        <v>34</v>
      </c>
      <c r="E108" s="6">
        <v>20</v>
      </c>
      <c r="F108" s="6">
        <v>2</v>
      </c>
      <c r="G108" s="6">
        <v>3</v>
      </c>
      <c r="H108" s="6">
        <v>170</v>
      </c>
      <c r="I108" s="6">
        <v>7</v>
      </c>
      <c r="J108" s="6">
        <v>0</v>
      </c>
      <c r="K108" s="6">
        <v>0</v>
      </c>
      <c r="L108" s="6" t="s">
        <v>20</v>
      </c>
      <c r="M108" s="23">
        <v>32.17</v>
      </c>
    </row>
    <row r="109" spans="1:13" x14ac:dyDescent="0.3">
      <c r="A109" s="21">
        <v>108</v>
      </c>
      <c r="B109" s="6">
        <v>2015</v>
      </c>
      <c r="C109" s="6" t="s">
        <v>15</v>
      </c>
      <c r="D109" s="6">
        <v>48</v>
      </c>
      <c r="E109" s="6">
        <v>44</v>
      </c>
      <c r="F109" s="6">
        <v>2</v>
      </c>
      <c r="G109" s="6">
        <v>1</v>
      </c>
      <c r="H109" s="6">
        <v>109.09</v>
      </c>
      <c r="I109" s="6">
        <v>6</v>
      </c>
      <c r="J109" s="6">
        <v>0</v>
      </c>
      <c r="K109" s="6">
        <v>0</v>
      </c>
      <c r="L109" s="6" t="s">
        <v>20</v>
      </c>
      <c r="M109" s="23">
        <v>34.43</v>
      </c>
    </row>
    <row r="110" spans="1:13" x14ac:dyDescent="0.3">
      <c r="A110" s="21">
        <v>109</v>
      </c>
      <c r="B110" s="6">
        <v>2015</v>
      </c>
      <c r="C110" s="6" t="s">
        <v>18</v>
      </c>
      <c r="D110" s="6">
        <v>32</v>
      </c>
      <c r="E110" s="6">
        <v>30</v>
      </c>
      <c r="F110" s="6">
        <v>3</v>
      </c>
      <c r="G110" s="6">
        <v>1</v>
      </c>
      <c r="H110" s="6">
        <v>106.67</v>
      </c>
      <c r="I110" s="6">
        <v>12</v>
      </c>
      <c r="J110" s="6">
        <v>0</v>
      </c>
      <c r="K110" s="6">
        <v>0</v>
      </c>
      <c r="L110" s="6" t="s">
        <v>20</v>
      </c>
      <c r="M110" s="23">
        <v>34.130000000000003</v>
      </c>
    </row>
    <row r="111" spans="1:13" x14ac:dyDescent="0.3">
      <c r="A111" s="21">
        <v>110</v>
      </c>
      <c r="B111" s="6">
        <v>2015</v>
      </c>
      <c r="C111" s="6" t="s">
        <v>13</v>
      </c>
      <c r="D111" s="6">
        <v>82</v>
      </c>
      <c r="E111" s="6">
        <v>50</v>
      </c>
      <c r="F111" s="6">
        <v>6</v>
      </c>
      <c r="G111" s="6">
        <v>4</v>
      </c>
      <c r="H111" s="6">
        <v>164</v>
      </c>
      <c r="I111" s="6">
        <v>8</v>
      </c>
      <c r="J111" s="6">
        <v>1</v>
      </c>
      <c r="K111" s="6">
        <v>0</v>
      </c>
      <c r="L111" s="6" t="s">
        <v>19</v>
      </c>
      <c r="M111" s="23">
        <v>44.38</v>
      </c>
    </row>
    <row r="112" spans="1:13" x14ac:dyDescent="0.3">
      <c r="A112" s="21">
        <v>111</v>
      </c>
      <c r="B112" s="6">
        <v>2015</v>
      </c>
      <c r="C112" s="6" t="s">
        <v>18</v>
      </c>
      <c r="D112" s="6">
        <v>19</v>
      </c>
      <c r="E112" s="6">
        <v>9</v>
      </c>
      <c r="F112" s="6">
        <v>2</v>
      </c>
      <c r="G112" s="6">
        <v>1</v>
      </c>
      <c r="H112" s="6">
        <v>211.11</v>
      </c>
      <c r="I112" s="6">
        <v>1</v>
      </c>
      <c r="J112" s="6">
        <v>0</v>
      </c>
      <c r="K112" s="6">
        <v>0</v>
      </c>
      <c r="L112" s="6" t="s">
        <v>20</v>
      </c>
      <c r="M112" s="23">
        <v>41.56</v>
      </c>
    </row>
    <row r="113" spans="1:13" x14ac:dyDescent="0.3">
      <c r="A113" s="21">
        <v>112</v>
      </c>
      <c r="B113" s="6">
        <v>2015</v>
      </c>
      <c r="C113" s="6" t="s">
        <v>53</v>
      </c>
      <c r="D113" s="6">
        <v>44</v>
      </c>
      <c r="E113" s="6">
        <v>19</v>
      </c>
      <c r="F113" s="6">
        <v>3</v>
      </c>
      <c r="G113" s="6">
        <v>3</v>
      </c>
      <c r="H113" s="6">
        <v>231.58</v>
      </c>
      <c r="I113" s="6">
        <v>5</v>
      </c>
      <c r="J113" s="6">
        <v>0</v>
      </c>
      <c r="K113" s="6">
        <v>0</v>
      </c>
      <c r="L113" s="6" t="s">
        <v>19</v>
      </c>
      <c r="M113" s="23">
        <v>46.44</v>
      </c>
    </row>
    <row r="114" spans="1:13" x14ac:dyDescent="0.3">
      <c r="A114" s="21">
        <v>113</v>
      </c>
      <c r="B114" s="6">
        <v>2015</v>
      </c>
      <c r="C114" s="6" t="s">
        <v>16</v>
      </c>
      <c r="D114" s="6">
        <v>1</v>
      </c>
      <c r="E114" s="6">
        <v>2</v>
      </c>
      <c r="F114" s="6">
        <v>0</v>
      </c>
      <c r="G114" s="6">
        <v>0</v>
      </c>
      <c r="H114" s="6">
        <v>50</v>
      </c>
      <c r="I114" s="6">
        <v>0</v>
      </c>
      <c r="J114" s="6">
        <v>0</v>
      </c>
      <c r="K114" s="6">
        <v>0</v>
      </c>
      <c r="L114" s="6" t="s">
        <v>19</v>
      </c>
      <c r="M114" s="23">
        <v>46.555500000000002</v>
      </c>
    </row>
    <row r="115" spans="1:13" x14ac:dyDescent="0.3">
      <c r="A115" s="21">
        <v>114</v>
      </c>
      <c r="B115" s="6">
        <v>2015</v>
      </c>
      <c r="C115" s="6" t="s">
        <v>14</v>
      </c>
      <c r="D115" s="6">
        <v>12</v>
      </c>
      <c r="E115" s="6">
        <v>18</v>
      </c>
      <c r="F115" s="6">
        <v>0</v>
      </c>
      <c r="G115" s="6">
        <v>0</v>
      </c>
      <c r="H115" s="6">
        <v>66.67</v>
      </c>
      <c r="I115" s="6">
        <v>6</v>
      </c>
      <c r="J115" s="6">
        <v>0</v>
      </c>
      <c r="K115" s="6">
        <v>0</v>
      </c>
      <c r="L115" s="6" t="s">
        <v>33</v>
      </c>
      <c r="M115" s="23">
        <v>43.1</v>
      </c>
    </row>
    <row r="116" spans="1:13" x14ac:dyDescent="0.3">
      <c r="A116" s="21">
        <v>115</v>
      </c>
      <c r="B116" s="6">
        <v>2015</v>
      </c>
      <c r="C116" s="6" t="s">
        <v>15</v>
      </c>
      <c r="D116" s="6">
        <v>12</v>
      </c>
      <c r="E116" s="6">
        <v>9</v>
      </c>
      <c r="F116" s="6">
        <v>1</v>
      </c>
      <c r="G116" s="6">
        <v>1</v>
      </c>
      <c r="H116" s="6">
        <v>133.33000000000001</v>
      </c>
      <c r="I116" s="6">
        <v>6</v>
      </c>
      <c r="J116" s="6">
        <v>0</v>
      </c>
      <c r="K116" s="6">
        <v>0</v>
      </c>
      <c r="L116" s="6" t="s">
        <v>33</v>
      </c>
      <c r="M116" s="22">
        <v>38</v>
      </c>
    </row>
    <row r="117" spans="1:13" x14ac:dyDescent="0.3">
      <c r="A117" s="21">
        <v>116</v>
      </c>
      <c r="B117" s="6">
        <v>2016</v>
      </c>
      <c r="C117" s="6" t="s">
        <v>53</v>
      </c>
      <c r="D117" s="6">
        <v>75</v>
      </c>
      <c r="E117" s="6">
        <v>51</v>
      </c>
      <c r="F117" s="6">
        <v>7</v>
      </c>
      <c r="G117" s="6">
        <v>3</v>
      </c>
      <c r="H117" s="6">
        <v>147.06</v>
      </c>
      <c r="I117" s="6">
        <v>17</v>
      </c>
      <c r="J117" s="6">
        <v>1</v>
      </c>
      <c r="K117" s="6">
        <v>0</v>
      </c>
      <c r="L117" s="6" t="s">
        <v>20</v>
      </c>
      <c r="M117" s="23">
        <v>75</v>
      </c>
    </row>
    <row r="118" spans="1:13" x14ac:dyDescent="0.3">
      <c r="A118" s="21">
        <v>117</v>
      </c>
      <c r="B118" s="6">
        <v>2016</v>
      </c>
      <c r="C118" s="6" t="s">
        <v>16</v>
      </c>
      <c r="D118" s="6">
        <v>79</v>
      </c>
      <c r="E118" s="6">
        <v>48</v>
      </c>
      <c r="F118" s="6">
        <v>7</v>
      </c>
      <c r="G118" s="6">
        <v>3</v>
      </c>
      <c r="H118" s="6">
        <v>164.58</v>
      </c>
      <c r="I118" s="6">
        <v>8</v>
      </c>
      <c r="J118" s="6">
        <v>1</v>
      </c>
      <c r="K118" s="6">
        <v>0</v>
      </c>
      <c r="L118" s="6" t="s">
        <v>20</v>
      </c>
      <c r="M118" s="23">
        <v>77</v>
      </c>
    </row>
    <row r="119" spans="1:13" x14ac:dyDescent="0.3">
      <c r="A119" s="21">
        <v>118</v>
      </c>
      <c r="B119" s="6">
        <v>2016</v>
      </c>
      <c r="C119" s="6" t="s">
        <v>13</v>
      </c>
      <c r="D119" s="6">
        <v>33</v>
      </c>
      <c r="E119" s="6">
        <v>30</v>
      </c>
      <c r="F119" s="6">
        <v>3</v>
      </c>
      <c r="G119" s="6">
        <v>0</v>
      </c>
      <c r="H119" s="6">
        <v>110</v>
      </c>
      <c r="I119" s="6">
        <v>9</v>
      </c>
      <c r="J119" s="6">
        <v>0</v>
      </c>
      <c r="K119" s="6">
        <v>0</v>
      </c>
      <c r="L119" s="6" t="s">
        <v>20</v>
      </c>
      <c r="M119" s="23">
        <v>62.33</v>
      </c>
    </row>
    <row r="120" spans="1:13" x14ac:dyDescent="0.3">
      <c r="A120" s="21">
        <v>119</v>
      </c>
      <c r="B120" s="6">
        <v>2016</v>
      </c>
      <c r="C120" s="6" t="s">
        <v>66</v>
      </c>
      <c r="D120" s="6">
        <v>80</v>
      </c>
      <c r="E120" s="6">
        <v>63</v>
      </c>
      <c r="F120" s="6">
        <v>7</v>
      </c>
      <c r="G120" s="6">
        <v>2</v>
      </c>
      <c r="H120" s="6">
        <v>126.98</v>
      </c>
      <c r="I120" s="6">
        <v>17</v>
      </c>
      <c r="J120" s="6">
        <v>1</v>
      </c>
      <c r="K120" s="6">
        <v>0</v>
      </c>
      <c r="L120" s="6" t="s">
        <v>20</v>
      </c>
      <c r="M120" s="23">
        <v>66.75</v>
      </c>
    </row>
    <row r="121" spans="1:13" x14ac:dyDescent="0.3">
      <c r="A121" s="21">
        <v>120</v>
      </c>
      <c r="B121" s="6">
        <v>2016</v>
      </c>
      <c r="C121" s="6" t="s">
        <v>67</v>
      </c>
      <c r="D121" s="6">
        <v>100</v>
      </c>
      <c r="E121" s="6">
        <v>63</v>
      </c>
      <c r="F121" s="6">
        <v>11</v>
      </c>
      <c r="G121" s="6">
        <v>1</v>
      </c>
      <c r="H121" s="6">
        <v>158.72999999999999</v>
      </c>
      <c r="I121" s="6">
        <v>11</v>
      </c>
      <c r="J121" s="6">
        <v>0</v>
      </c>
      <c r="K121" s="6">
        <v>1</v>
      </c>
      <c r="L121" s="6" t="s">
        <v>19</v>
      </c>
      <c r="M121" s="23">
        <v>91.75</v>
      </c>
    </row>
    <row r="122" spans="1:13" x14ac:dyDescent="0.3">
      <c r="A122" s="21">
        <v>121</v>
      </c>
      <c r="B122" s="6">
        <v>2016</v>
      </c>
      <c r="C122" s="6" t="s">
        <v>53</v>
      </c>
      <c r="D122" s="6">
        <v>14</v>
      </c>
      <c r="E122" s="6">
        <v>17</v>
      </c>
      <c r="F122" s="6">
        <v>1</v>
      </c>
      <c r="G122" s="6">
        <v>0</v>
      </c>
      <c r="H122" s="6">
        <v>82.35</v>
      </c>
      <c r="I122" s="6">
        <v>6</v>
      </c>
      <c r="J122" s="6">
        <v>0</v>
      </c>
      <c r="K122" s="6">
        <v>0</v>
      </c>
      <c r="L122" s="6" t="s">
        <v>20</v>
      </c>
      <c r="M122" s="23">
        <v>76.2</v>
      </c>
    </row>
    <row r="123" spans="1:13" x14ac:dyDescent="0.3">
      <c r="A123" s="21">
        <v>122</v>
      </c>
      <c r="B123" s="6">
        <v>2016</v>
      </c>
      <c r="C123" s="6" t="s">
        <v>12</v>
      </c>
      <c r="D123" s="6">
        <v>52</v>
      </c>
      <c r="E123" s="6">
        <v>44</v>
      </c>
      <c r="F123" s="6">
        <v>4</v>
      </c>
      <c r="G123" s="6">
        <v>0</v>
      </c>
      <c r="H123" s="6">
        <v>118.18</v>
      </c>
      <c r="I123" s="6">
        <v>10</v>
      </c>
      <c r="J123" s="6">
        <v>1</v>
      </c>
      <c r="K123" s="6">
        <v>0</v>
      </c>
      <c r="L123" s="6" t="s">
        <v>20</v>
      </c>
      <c r="M123" s="23">
        <v>72.17</v>
      </c>
    </row>
    <row r="124" spans="1:13" x14ac:dyDescent="0.3">
      <c r="A124" s="21">
        <v>123</v>
      </c>
      <c r="B124" s="6">
        <v>2016</v>
      </c>
      <c r="C124" s="6" t="s">
        <v>66</v>
      </c>
      <c r="D124" s="6">
        <v>108</v>
      </c>
      <c r="E124" s="6">
        <v>58</v>
      </c>
      <c r="F124" s="6">
        <v>8</v>
      </c>
      <c r="G124" s="6">
        <v>7</v>
      </c>
      <c r="H124" s="6">
        <v>186.21</v>
      </c>
      <c r="I124" s="6">
        <v>13</v>
      </c>
      <c r="J124" s="6">
        <v>0</v>
      </c>
      <c r="K124" s="6">
        <v>1</v>
      </c>
      <c r="L124" s="6" t="s">
        <v>19</v>
      </c>
      <c r="M124" s="23">
        <v>90.17</v>
      </c>
    </row>
    <row r="125" spans="1:13" x14ac:dyDescent="0.3">
      <c r="A125" s="21">
        <v>124</v>
      </c>
      <c r="B125" s="6">
        <v>2016</v>
      </c>
      <c r="C125" s="6" t="s">
        <v>18</v>
      </c>
      <c r="D125" s="6">
        <v>20</v>
      </c>
      <c r="E125" s="6">
        <v>21</v>
      </c>
      <c r="F125" s="6">
        <v>2</v>
      </c>
      <c r="G125" s="6">
        <v>0</v>
      </c>
      <c r="H125" s="6">
        <v>95.24</v>
      </c>
      <c r="I125" s="6">
        <v>9</v>
      </c>
      <c r="J125" s="6">
        <v>0</v>
      </c>
      <c r="K125" s="6">
        <v>0</v>
      </c>
      <c r="L125" s="6" t="s">
        <v>20</v>
      </c>
      <c r="M125" s="23">
        <v>80.14</v>
      </c>
    </row>
    <row r="126" spans="1:13" x14ac:dyDescent="0.3">
      <c r="A126" s="21">
        <v>125</v>
      </c>
      <c r="B126" s="6">
        <v>2016</v>
      </c>
      <c r="C126" s="6" t="s">
        <v>13</v>
      </c>
      <c r="D126" s="6">
        <v>7</v>
      </c>
      <c r="E126" s="6">
        <v>7</v>
      </c>
      <c r="F126" s="6">
        <v>0</v>
      </c>
      <c r="G126" s="6">
        <v>1</v>
      </c>
      <c r="H126" s="6">
        <v>100</v>
      </c>
      <c r="I126" s="6">
        <v>5</v>
      </c>
      <c r="J126" s="6">
        <v>0</v>
      </c>
      <c r="K126" s="6">
        <v>0</v>
      </c>
      <c r="L126" s="6" t="s">
        <v>20</v>
      </c>
      <c r="M126" s="23">
        <v>71</v>
      </c>
    </row>
    <row r="127" spans="1:13" x14ac:dyDescent="0.3">
      <c r="A127" s="21">
        <v>126</v>
      </c>
      <c r="B127" s="6">
        <v>2016</v>
      </c>
      <c r="C127" s="6" t="s">
        <v>67</v>
      </c>
      <c r="D127" s="6">
        <v>109</v>
      </c>
      <c r="E127" s="6">
        <v>55</v>
      </c>
      <c r="F127" s="6">
        <v>6</v>
      </c>
      <c r="G127" s="6">
        <v>8</v>
      </c>
      <c r="H127" s="6">
        <v>198.18</v>
      </c>
      <c r="I127" s="6">
        <v>11</v>
      </c>
      <c r="J127" s="6">
        <v>0</v>
      </c>
      <c r="K127" s="6">
        <v>1</v>
      </c>
      <c r="L127" s="6" t="s">
        <v>20</v>
      </c>
      <c r="M127" s="23">
        <v>75.22</v>
      </c>
    </row>
    <row r="128" spans="1:13" x14ac:dyDescent="0.3">
      <c r="A128" s="21">
        <v>127</v>
      </c>
      <c r="B128" s="6">
        <v>2016</v>
      </c>
      <c r="C128" s="6" t="s">
        <v>12</v>
      </c>
      <c r="D128" s="6">
        <v>75</v>
      </c>
      <c r="E128" s="6">
        <v>51</v>
      </c>
      <c r="F128" s="6">
        <v>5</v>
      </c>
      <c r="G128" s="6">
        <v>3</v>
      </c>
      <c r="H128" s="6">
        <v>147.06</v>
      </c>
      <c r="I128" s="6">
        <v>13</v>
      </c>
      <c r="J128" s="6">
        <v>1</v>
      </c>
      <c r="K128" s="6">
        <v>0</v>
      </c>
      <c r="L128" s="6" t="s">
        <v>19</v>
      </c>
      <c r="M128" s="23">
        <v>83.56</v>
      </c>
    </row>
    <row r="129" spans="1:13" x14ac:dyDescent="0.3">
      <c r="A129" s="21">
        <v>128</v>
      </c>
      <c r="B129" s="6">
        <v>2016</v>
      </c>
      <c r="C129" s="6" t="s">
        <v>18</v>
      </c>
      <c r="D129" s="6">
        <v>113</v>
      </c>
      <c r="E129" s="6">
        <v>50</v>
      </c>
      <c r="F129" s="6">
        <v>12</v>
      </c>
      <c r="G129" s="6">
        <v>8</v>
      </c>
      <c r="H129" s="6">
        <v>226</v>
      </c>
      <c r="I129" s="6">
        <v>15</v>
      </c>
      <c r="J129" s="6">
        <v>0</v>
      </c>
      <c r="K129" s="6">
        <v>1</v>
      </c>
      <c r="L129" s="6" t="s">
        <v>20</v>
      </c>
      <c r="M129" s="23">
        <v>86.5</v>
      </c>
    </row>
    <row r="130" spans="1:13" x14ac:dyDescent="0.3">
      <c r="A130" s="21">
        <v>129</v>
      </c>
      <c r="B130" s="6">
        <v>2016</v>
      </c>
      <c r="C130" s="6" t="s">
        <v>16</v>
      </c>
      <c r="D130" s="6">
        <v>54</v>
      </c>
      <c r="E130" s="6">
        <v>45</v>
      </c>
      <c r="F130" s="6">
        <v>6</v>
      </c>
      <c r="G130" s="6">
        <v>0</v>
      </c>
      <c r="H130" s="6">
        <v>120</v>
      </c>
      <c r="I130" s="6">
        <v>12</v>
      </c>
      <c r="J130" s="6">
        <v>1</v>
      </c>
      <c r="K130" s="6">
        <v>0</v>
      </c>
      <c r="L130" s="6" t="s">
        <v>19</v>
      </c>
      <c r="M130" s="23">
        <v>91.9</v>
      </c>
    </row>
    <row r="131" spans="1:13" x14ac:dyDescent="0.3">
      <c r="A131" s="21">
        <v>130</v>
      </c>
      <c r="B131" s="6">
        <v>2016</v>
      </c>
      <c r="C131" s="6" t="s">
        <v>67</v>
      </c>
      <c r="D131" s="6">
        <v>0</v>
      </c>
      <c r="E131" s="6">
        <v>2</v>
      </c>
      <c r="F131" s="6">
        <v>0</v>
      </c>
      <c r="G131" s="6">
        <v>0</v>
      </c>
      <c r="H131" s="6">
        <v>0</v>
      </c>
      <c r="I131" s="6">
        <v>2</v>
      </c>
      <c r="J131" s="6">
        <v>0</v>
      </c>
      <c r="K131" s="6">
        <v>0</v>
      </c>
      <c r="L131" s="6" t="s">
        <v>20</v>
      </c>
      <c r="M131" s="23">
        <v>83.55</v>
      </c>
    </row>
    <row r="132" spans="1:13" x14ac:dyDescent="0.3">
      <c r="A132" s="21">
        <v>131</v>
      </c>
      <c r="B132" s="6">
        <v>2016</v>
      </c>
      <c r="C132" s="6" t="s">
        <v>53</v>
      </c>
      <c r="D132" s="6">
        <v>54</v>
      </c>
      <c r="E132" s="6">
        <v>35</v>
      </c>
      <c r="F132" s="6">
        <v>5</v>
      </c>
      <c r="G132" s="6">
        <v>2</v>
      </c>
      <c r="H132" s="6">
        <v>154.29</v>
      </c>
      <c r="I132" s="6">
        <v>11</v>
      </c>
      <c r="J132" s="6">
        <v>1</v>
      </c>
      <c r="K132" s="6">
        <v>0</v>
      </c>
      <c r="L132" s="6" t="s">
        <v>20</v>
      </c>
      <c r="M132" s="23">
        <v>81.08</v>
      </c>
    </row>
    <row r="133" spans="1:13" x14ac:dyDescent="0.3">
      <c r="A133" s="21">
        <v>132</v>
      </c>
      <c r="B133" s="11">
        <v>2017</v>
      </c>
      <c r="C133" s="11" t="s">
        <v>13</v>
      </c>
      <c r="D133" s="11">
        <v>62</v>
      </c>
      <c r="E133" s="11">
        <v>47</v>
      </c>
      <c r="F133" s="11">
        <v>5</v>
      </c>
      <c r="G133" s="11">
        <v>2</v>
      </c>
      <c r="H133" s="11">
        <v>131.91</v>
      </c>
      <c r="I133" s="11">
        <v>14</v>
      </c>
      <c r="J133" s="11">
        <v>1</v>
      </c>
      <c r="K133" s="11">
        <v>0</v>
      </c>
      <c r="L133" s="11" t="s">
        <v>20</v>
      </c>
      <c r="M133" s="24">
        <v>62</v>
      </c>
    </row>
    <row r="134" spans="1:13" x14ac:dyDescent="0.3">
      <c r="A134" s="21">
        <v>133</v>
      </c>
      <c r="B134" s="11">
        <v>2017</v>
      </c>
      <c r="C134" s="11" t="s">
        <v>66</v>
      </c>
      <c r="D134" s="11">
        <v>28</v>
      </c>
      <c r="E134" s="11">
        <v>19</v>
      </c>
      <c r="F134" s="11">
        <v>3</v>
      </c>
      <c r="G134" s="11">
        <v>1</v>
      </c>
      <c r="H134" s="11">
        <v>147.37</v>
      </c>
      <c r="I134" s="11">
        <v>6</v>
      </c>
      <c r="J134" s="11">
        <v>0</v>
      </c>
      <c r="K134" s="11">
        <v>0</v>
      </c>
      <c r="L134" s="11" t="s">
        <v>20</v>
      </c>
      <c r="M134" s="24">
        <v>45</v>
      </c>
    </row>
    <row r="135" spans="1:13" x14ac:dyDescent="0.3">
      <c r="A135" s="21">
        <v>134</v>
      </c>
      <c r="B135" s="11">
        <v>2017</v>
      </c>
      <c r="C135" s="11" t="s">
        <v>67</v>
      </c>
      <c r="D135" s="11">
        <v>64</v>
      </c>
      <c r="E135" s="11">
        <v>50</v>
      </c>
      <c r="F135" s="11">
        <v>7</v>
      </c>
      <c r="G135" s="11">
        <v>1</v>
      </c>
      <c r="H135" s="11">
        <v>128</v>
      </c>
      <c r="I135" s="11">
        <v>16</v>
      </c>
      <c r="J135" s="11">
        <v>1</v>
      </c>
      <c r="K135" s="11">
        <v>0</v>
      </c>
      <c r="L135" s="11" t="s">
        <v>20</v>
      </c>
      <c r="M135" s="24">
        <v>51.33</v>
      </c>
    </row>
    <row r="136" spans="1:13" x14ac:dyDescent="0.3">
      <c r="A136" s="21">
        <v>135</v>
      </c>
      <c r="B136" s="11">
        <v>2017</v>
      </c>
      <c r="C136" s="11" t="s">
        <v>12</v>
      </c>
      <c r="D136" s="11">
        <v>0</v>
      </c>
      <c r="E136" s="11">
        <v>1</v>
      </c>
      <c r="F136" s="11">
        <v>0</v>
      </c>
      <c r="G136" s="11">
        <v>0</v>
      </c>
      <c r="H136" s="11">
        <v>0</v>
      </c>
      <c r="I136" s="11">
        <v>0</v>
      </c>
      <c r="J136" s="11">
        <v>0</v>
      </c>
      <c r="K136" s="11">
        <v>0</v>
      </c>
      <c r="L136" s="11" t="s">
        <v>20</v>
      </c>
      <c r="M136" s="24">
        <v>38.5</v>
      </c>
    </row>
    <row r="137" spans="1:13" x14ac:dyDescent="0.3">
      <c r="A137" s="21">
        <v>136</v>
      </c>
      <c r="B137" s="11">
        <v>2017</v>
      </c>
      <c r="C137" s="11" t="s">
        <v>67</v>
      </c>
      <c r="D137" s="11">
        <v>10</v>
      </c>
      <c r="E137" s="11">
        <v>13</v>
      </c>
      <c r="F137" s="11">
        <v>0</v>
      </c>
      <c r="G137" s="11">
        <v>1</v>
      </c>
      <c r="H137" s="11">
        <v>76.92</v>
      </c>
      <c r="I137" s="11">
        <v>8</v>
      </c>
      <c r="J137" s="11">
        <v>0</v>
      </c>
      <c r="K137" s="11">
        <v>0</v>
      </c>
      <c r="L137" s="11" t="s">
        <v>20</v>
      </c>
      <c r="M137" s="24">
        <v>32.799999999999997</v>
      </c>
    </row>
    <row r="138" spans="1:13" x14ac:dyDescent="0.3">
      <c r="A138" s="21">
        <v>137</v>
      </c>
      <c r="B138" s="11">
        <v>2017</v>
      </c>
      <c r="C138" s="11" t="s">
        <v>66</v>
      </c>
      <c r="D138" s="11">
        <v>55</v>
      </c>
      <c r="E138" s="11">
        <v>48</v>
      </c>
      <c r="F138" s="11">
        <v>4</v>
      </c>
      <c r="G138" s="11">
        <v>1</v>
      </c>
      <c r="H138" s="11">
        <v>114.58</v>
      </c>
      <c r="I138" s="11">
        <v>7</v>
      </c>
      <c r="J138" s="11">
        <v>1</v>
      </c>
      <c r="K138" s="11">
        <v>0</v>
      </c>
      <c r="L138" s="11" t="s">
        <v>20</v>
      </c>
      <c r="M138" s="24">
        <v>36.5</v>
      </c>
    </row>
    <row r="139" spans="1:13" x14ac:dyDescent="0.3">
      <c r="A139" s="21">
        <v>138</v>
      </c>
      <c r="B139" s="11">
        <v>2017</v>
      </c>
      <c r="C139" s="11" t="s">
        <v>13</v>
      </c>
      <c r="D139" s="11">
        <v>20</v>
      </c>
      <c r="E139" s="11">
        <v>14</v>
      </c>
      <c r="F139" s="11">
        <v>0</v>
      </c>
      <c r="G139" s="11">
        <v>2</v>
      </c>
      <c r="H139" s="11">
        <v>142.86000000000001</v>
      </c>
      <c r="I139" s="11">
        <v>5</v>
      </c>
      <c r="J139" s="11">
        <v>0</v>
      </c>
      <c r="K139" s="11">
        <v>0</v>
      </c>
      <c r="L139" s="11" t="s">
        <v>20</v>
      </c>
      <c r="M139" s="24">
        <v>34.14</v>
      </c>
    </row>
    <row r="140" spans="1:13" x14ac:dyDescent="0.3">
      <c r="A140" s="21">
        <v>139</v>
      </c>
      <c r="B140" s="11">
        <v>2017</v>
      </c>
      <c r="C140" s="11" t="s">
        <v>18</v>
      </c>
      <c r="D140" s="11">
        <v>6</v>
      </c>
      <c r="E140" s="11">
        <v>6</v>
      </c>
      <c r="F140" s="11">
        <v>1</v>
      </c>
      <c r="G140" s="11">
        <v>0</v>
      </c>
      <c r="H140" s="11">
        <v>100</v>
      </c>
      <c r="I140" s="11">
        <v>2</v>
      </c>
      <c r="J140" s="11">
        <v>0</v>
      </c>
      <c r="K140" s="11">
        <v>0</v>
      </c>
      <c r="L140" s="11" t="s">
        <v>20</v>
      </c>
      <c r="M140" s="24">
        <v>30.63</v>
      </c>
    </row>
    <row r="141" spans="1:13" x14ac:dyDescent="0.3">
      <c r="A141" s="21">
        <v>140</v>
      </c>
      <c r="B141" s="11">
        <v>2017</v>
      </c>
      <c r="C141" s="11" t="s">
        <v>12</v>
      </c>
      <c r="D141" s="11">
        <v>5</v>
      </c>
      <c r="E141" s="11">
        <v>9</v>
      </c>
      <c r="F141" s="11">
        <v>0</v>
      </c>
      <c r="G141" s="11">
        <v>0</v>
      </c>
      <c r="H141" s="11">
        <v>55.56</v>
      </c>
      <c r="I141" s="11">
        <v>4</v>
      </c>
      <c r="J141" s="11">
        <v>0</v>
      </c>
      <c r="K141" s="11">
        <v>0</v>
      </c>
      <c r="L141" s="11" t="s">
        <v>20</v>
      </c>
      <c r="M141" s="24">
        <v>27.78</v>
      </c>
    </row>
    <row r="142" spans="1:13" x14ac:dyDescent="0.3">
      <c r="A142" s="21">
        <v>141</v>
      </c>
      <c r="B142" s="11">
        <v>2017</v>
      </c>
      <c r="C142" s="11" t="s">
        <v>16</v>
      </c>
      <c r="D142" s="11">
        <v>58</v>
      </c>
      <c r="E142" s="11">
        <v>45</v>
      </c>
      <c r="F142" s="11">
        <v>3</v>
      </c>
      <c r="G142" s="11">
        <v>3</v>
      </c>
      <c r="H142" s="11">
        <v>128.88999999999999</v>
      </c>
      <c r="I142" s="11">
        <v>7</v>
      </c>
      <c r="J142" s="11">
        <v>1</v>
      </c>
      <c r="K142" s="11">
        <v>0</v>
      </c>
      <c r="L142" s="11" t="s">
        <v>20</v>
      </c>
      <c r="M142" s="24">
        <v>30.8</v>
      </c>
    </row>
    <row r="143" spans="1:13" x14ac:dyDescent="0.3">
      <c r="A143" s="21">
        <v>142</v>
      </c>
      <c r="B143" s="6">
        <v>2018</v>
      </c>
      <c r="C143" s="6" t="s">
        <v>12</v>
      </c>
      <c r="D143" s="6">
        <v>31</v>
      </c>
      <c r="E143" s="6">
        <v>33</v>
      </c>
      <c r="F143" s="6">
        <v>1</v>
      </c>
      <c r="G143" s="6">
        <v>1</v>
      </c>
      <c r="H143" s="6">
        <v>93.94</v>
      </c>
      <c r="I143" s="6">
        <v>10</v>
      </c>
      <c r="J143" s="6">
        <v>0</v>
      </c>
      <c r="K143" s="6">
        <v>0</v>
      </c>
      <c r="L143" s="6" t="s">
        <v>20</v>
      </c>
      <c r="M143" s="23">
        <v>31</v>
      </c>
    </row>
    <row r="144" spans="1:13" x14ac:dyDescent="0.3">
      <c r="A144" s="21">
        <v>143</v>
      </c>
      <c r="B144" s="6">
        <v>2018</v>
      </c>
      <c r="C144" s="6" t="s">
        <v>18</v>
      </c>
      <c r="D144" s="6">
        <v>21</v>
      </c>
      <c r="E144" s="6">
        <v>16</v>
      </c>
      <c r="F144" s="6">
        <v>4</v>
      </c>
      <c r="G144" s="6">
        <v>0</v>
      </c>
      <c r="H144" s="6">
        <v>131.25</v>
      </c>
      <c r="I144" s="6">
        <v>7</v>
      </c>
      <c r="J144" s="6">
        <v>0</v>
      </c>
      <c r="K144" s="6">
        <v>0</v>
      </c>
      <c r="L144" s="6" t="s">
        <v>20</v>
      </c>
      <c r="M144" s="23">
        <v>26</v>
      </c>
    </row>
    <row r="145" spans="1:13" x14ac:dyDescent="0.3">
      <c r="A145" s="21">
        <v>144</v>
      </c>
      <c r="B145" s="6">
        <v>2018</v>
      </c>
      <c r="C145" s="6" t="s">
        <v>14</v>
      </c>
      <c r="D145" s="6">
        <v>57</v>
      </c>
      <c r="E145" s="6">
        <v>30</v>
      </c>
      <c r="F145" s="6">
        <v>6</v>
      </c>
      <c r="G145" s="6">
        <v>2</v>
      </c>
      <c r="H145" s="6">
        <v>190</v>
      </c>
      <c r="I145" s="6">
        <v>1</v>
      </c>
      <c r="J145" s="6">
        <v>1</v>
      </c>
      <c r="K145" s="6">
        <v>0</v>
      </c>
      <c r="L145" s="6" t="s">
        <v>20</v>
      </c>
      <c r="M145" s="23">
        <v>36.33</v>
      </c>
    </row>
    <row r="146" spans="1:13" x14ac:dyDescent="0.3">
      <c r="A146" s="21">
        <v>145</v>
      </c>
      <c r="B146" s="6">
        <v>2018</v>
      </c>
      <c r="C146" s="6" t="s">
        <v>13</v>
      </c>
      <c r="D146" s="6">
        <v>92</v>
      </c>
      <c r="E146" s="6">
        <v>62</v>
      </c>
      <c r="F146" s="6">
        <v>7</v>
      </c>
      <c r="G146" s="6">
        <v>4</v>
      </c>
      <c r="H146" s="6">
        <v>148.38</v>
      </c>
      <c r="I146" s="6">
        <v>11</v>
      </c>
      <c r="J146" s="6">
        <v>1</v>
      </c>
      <c r="K146" s="6">
        <v>0</v>
      </c>
      <c r="L146" s="6" t="s">
        <v>19</v>
      </c>
      <c r="M146" s="23">
        <v>67</v>
      </c>
    </row>
    <row r="147" spans="1:13" x14ac:dyDescent="0.3">
      <c r="A147" s="21">
        <v>146</v>
      </c>
      <c r="B147" s="6">
        <v>2018</v>
      </c>
      <c r="C147" s="6" t="s">
        <v>16</v>
      </c>
      <c r="D147" s="6">
        <v>30</v>
      </c>
      <c r="E147" s="6">
        <v>26</v>
      </c>
      <c r="F147" s="6">
        <v>2</v>
      </c>
      <c r="G147" s="6">
        <v>1</v>
      </c>
      <c r="H147" s="6">
        <v>115.38</v>
      </c>
      <c r="I147" s="6">
        <v>7</v>
      </c>
      <c r="J147" s="6">
        <v>0</v>
      </c>
      <c r="K147" s="6">
        <v>0</v>
      </c>
      <c r="L147" s="6" t="s">
        <v>20</v>
      </c>
      <c r="M147" s="23">
        <v>57.75</v>
      </c>
    </row>
    <row r="148" spans="1:13" x14ac:dyDescent="0.3">
      <c r="A148" s="21">
        <v>147</v>
      </c>
      <c r="B148" s="6">
        <v>2018</v>
      </c>
      <c r="C148" s="6" t="s">
        <v>15</v>
      </c>
      <c r="D148" s="6">
        <v>18</v>
      </c>
      <c r="E148" s="6">
        <v>15</v>
      </c>
      <c r="F148" s="6">
        <v>3</v>
      </c>
      <c r="G148" s="6">
        <v>0</v>
      </c>
      <c r="H148" s="6">
        <v>120</v>
      </c>
      <c r="I148" s="6">
        <v>6</v>
      </c>
      <c r="J148" s="6">
        <v>0</v>
      </c>
      <c r="K148" s="6">
        <v>0</v>
      </c>
      <c r="L148" s="6" t="s">
        <v>20</v>
      </c>
      <c r="M148" s="23">
        <v>49.8</v>
      </c>
    </row>
    <row r="149" spans="1:13" x14ac:dyDescent="0.3">
      <c r="A149" s="21">
        <v>148</v>
      </c>
      <c r="B149" s="6">
        <v>2018</v>
      </c>
      <c r="C149" s="6" t="s">
        <v>12</v>
      </c>
      <c r="D149" s="6">
        <v>68</v>
      </c>
      <c r="E149" s="6">
        <v>44</v>
      </c>
      <c r="F149" s="6">
        <v>5</v>
      </c>
      <c r="G149" s="6">
        <v>3</v>
      </c>
      <c r="H149" s="6">
        <v>154.54</v>
      </c>
      <c r="I149" s="6">
        <v>6</v>
      </c>
      <c r="J149" s="6">
        <v>1</v>
      </c>
      <c r="K149" s="6">
        <v>0</v>
      </c>
      <c r="L149" s="6" t="s">
        <v>19</v>
      </c>
      <c r="M149" s="23">
        <v>63.4</v>
      </c>
    </row>
    <row r="150" spans="1:13" x14ac:dyDescent="0.3">
      <c r="A150" s="21">
        <v>149</v>
      </c>
      <c r="B150" s="6">
        <v>2018</v>
      </c>
      <c r="C150" s="6" t="s">
        <v>13</v>
      </c>
      <c r="D150" s="6">
        <v>32</v>
      </c>
      <c r="E150" s="6">
        <v>26</v>
      </c>
      <c r="F150" s="6">
        <v>2</v>
      </c>
      <c r="G150" s="6">
        <v>1</v>
      </c>
      <c r="H150" s="6">
        <v>123.08</v>
      </c>
      <c r="I150" s="6">
        <v>5</v>
      </c>
      <c r="J150" s="6">
        <v>0</v>
      </c>
      <c r="K150" s="6">
        <v>0</v>
      </c>
      <c r="L150" s="6" t="s">
        <v>20</v>
      </c>
      <c r="M150" s="23">
        <v>58.17</v>
      </c>
    </row>
    <row r="151" spans="1:13" x14ac:dyDescent="0.3">
      <c r="A151" s="21">
        <v>150</v>
      </c>
      <c r="B151" s="6">
        <v>2018</v>
      </c>
      <c r="C151" s="6" t="s">
        <v>15</v>
      </c>
      <c r="D151" s="6">
        <v>8</v>
      </c>
      <c r="E151" s="6">
        <v>11</v>
      </c>
      <c r="F151" s="6">
        <v>1</v>
      </c>
      <c r="G151" s="6">
        <v>0</v>
      </c>
      <c r="H151" s="6">
        <v>72.73</v>
      </c>
      <c r="I151" s="6">
        <v>6</v>
      </c>
      <c r="J151" s="6">
        <v>0</v>
      </c>
      <c r="K151" s="6">
        <v>0</v>
      </c>
      <c r="L151" s="6" t="s">
        <v>20</v>
      </c>
      <c r="M151" s="23">
        <v>51</v>
      </c>
    </row>
    <row r="152" spans="1:13" x14ac:dyDescent="0.3">
      <c r="A152" s="21">
        <v>151</v>
      </c>
      <c r="B152" s="6">
        <v>2018</v>
      </c>
      <c r="C152" s="6" t="s">
        <v>53</v>
      </c>
      <c r="D152" s="6">
        <v>39</v>
      </c>
      <c r="E152" s="6">
        <v>30</v>
      </c>
      <c r="F152" s="6">
        <v>5</v>
      </c>
      <c r="G152" s="6">
        <v>1</v>
      </c>
      <c r="H152" s="6">
        <v>130</v>
      </c>
      <c r="I152" s="6">
        <v>11</v>
      </c>
      <c r="J152" s="6">
        <v>0</v>
      </c>
      <c r="K152" s="6">
        <v>0</v>
      </c>
      <c r="L152" s="6" t="s">
        <v>20</v>
      </c>
      <c r="M152" s="23">
        <v>49.5</v>
      </c>
    </row>
    <row r="153" spans="1:13" x14ac:dyDescent="0.3">
      <c r="A153" s="21">
        <v>152</v>
      </c>
      <c r="B153" s="6">
        <v>2018</v>
      </c>
      <c r="C153" s="6" t="s">
        <v>16</v>
      </c>
      <c r="D153" s="6">
        <v>70</v>
      </c>
      <c r="E153" s="6">
        <v>40</v>
      </c>
      <c r="F153" s="6">
        <v>7</v>
      </c>
      <c r="G153" s="6">
        <v>3</v>
      </c>
      <c r="H153" s="6">
        <v>175</v>
      </c>
      <c r="I153" s="6">
        <v>6</v>
      </c>
      <c r="J153" s="6">
        <v>1</v>
      </c>
      <c r="K153" s="6">
        <v>0</v>
      </c>
      <c r="L153" s="6" t="s">
        <v>20</v>
      </c>
      <c r="M153" s="23">
        <v>51.78</v>
      </c>
    </row>
    <row r="154" spans="1:13" x14ac:dyDescent="0.3">
      <c r="A154" s="21">
        <v>153</v>
      </c>
      <c r="B154" s="6">
        <v>2018</v>
      </c>
      <c r="C154" s="6" t="s">
        <v>18</v>
      </c>
      <c r="D154" s="6">
        <v>48</v>
      </c>
      <c r="E154" s="6">
        <v>28</v>
      </c>
      <c r="F154" s="6">
        <v>6</v>
      </c>
      <c r="G154" s="6">
        <v>2</v>
      </c>
      <c r="H154" s="6">
        <v>171.43</v>
      </c>
      <c r="I154" s="6">
        <v>8</v>
      </c>
      <c r="J154" s="6">
        <v>1</v>
      </c>
      <c r="K154" s="6">
        <v>0</v>
      </c>
      <c r="L154" s="6" t="s">
        <v>19</v>
      </c>
      <c r="M154" s="23">
        <v>57.11</v>
      </c>
    </row>
    <row r="155" spans="1:13" x14ac:dyDescent="0.3">
      <c r="A155" s="21">
        <v>154</v>
      </c>
      <c r="B155" s="6">
        <v>2018</v>
      </c>
      <c r="C155" s="6" t="s">
        <v>53</v>
      </c>
      <c r="D155" s="6">
        <v>12</v>
      </c>
      <c r="E155" s="6">
        <v>11</v>
      </c>
      <c r="F155" s="6">
        <v>2</v>
      </c>
      <c r="G155" s="6">
        <v>0</v>
      </c>
      <c r="H155" s="6">
        <v>109.09</v>
      </c>
      <c r="I155" s="6">
        <v>5</v>
      </c>
      <c r="J155" s="6">
        <v>0</v>
      </c>
      <c r="K155" s="6">
        <v>0</v>
      </c>
      <c r="L155" s="6" t="s">
        <v>20</v>
      </c>
      <c r="M155" s="23">
        <v>52.6</v>
      </c>
    </row>
    <row r="156" spans="1:13" x14ac:dyDescent="0.3">
      <c r="A156" s="21">
        <v>155</v>
      </c>
      <c r="B156" s="6">
        <v>2018</v>
      </c>
      <c r="C156" s="6" t="s">
        <v>14</v>
      </c>
      <c r="D156" s="6">
        <v>4</v>
      </c>
      <c r="E156" s="6">
        <v>9</v>
      </c>
      <c r="F156" s="6">
        <v>0</v>
      </c>
      <c r="G156" s="6">
        <v>0</v>
      </c>
      <c r="H156" s="6">
        <v>44.44</v>
      </c>
      <c r="I156" s="6">
        <v>5</v>
      </c>
      <c r="J156" s="6">
        <v>0</v>
      </c>
      <c r="K156" s="6">
        <v>0</v>
      </c>
      <c r="L156" s="6" t="s">
        <v>20</v>
      </c>
      <c r="M156" s="23">
        <v>48.18</v>
      </c>
    </row>
    <row r="157" spans="1:13" x14ac:dyDescent="0.3">
      <c r="A157" s="21">
        <v>156</v>
      </c>
      <c r="B157" s="6">
        <v>2019</v>
      </c>
      <c r="C157" s="6" t="s">
        <v>15</v>
      </c>
      <c r="D157" s="6">
        <v>6</v>
      </c>
      <c r="E157" s="6">
        <v>12</v>
      </c>
      <c r="F157" s="6">
        <v>0</v>
      </c>
      <c r="G157" s="6">
        <v>0</v>
      </c>
      <c r="H157" s="6">
        <v>50</v>
      </c>
      <c r="I157" s="6">
        <v>6</v>
      </c>
      <c r="J157" s="6">
        <v>0</v>
      </c>
      <c r="K157" s="6">
        <v>0</v>
      </c>
      <c r="L157" s="6" t="s">
        <v>20</v>
      </c>
      <c r="M157" s="23">
        <v>6</v>
      </c>
    </row>
    <row r="158" spans="1:13" x14ac:dyDescent="0.3">
      <c r="A158" s="21">
        <v>157</v>
      </c>
      <c r="B158" s="6">
        <v>2019</v>
      </c>
      <c r="C158" s="6" t="s">
        <v>13</v>
      </c>
      <c r="D158" s="6">
        <v>46</v>
      </c>
      <c r="E158" s="6">
        <v>32</v>
      </c>
      <c r="F158" s="6">
        <v>6</v>
      </c>
      <c r="G158" s="6">
        <v>0</v>
      </c>
      <c r="H158" s="6">
        <v>143.75</v>
      </c>
      <c r="I158" s="6">
        <v>4</v>
      </c>
      <c r="J158" s="6">
        <v>0</v>
      </c>
      <c r="K158" s="6">
        <v>0</v>
      </c>
      <c r="L158" s="6" t="s">
        <v>20</v>
      </c>
      <c r="M158" s="23">
        <v>26</v>
      </c>
    </row>
    <row r="159" spans="1:13" x14ac:dyDescent="0.3">
      <c r="A159" s="21">
        <v>158</v>
      </c>
      <c r="B159" s="6">
        <v>2019</v>
      </c>
      <c r="C159" s="6" t="s">
        <v>53</v>
      </c>
      <c r="D159" s="6">
        <v>3</v>
      </c>
      <c r="E159" s="6">
        <v>10</v>
      </c>
      <c r="F159" s="6">
        <v>0</v>
      </c>
      <c r="G159" s="6">
        <v>0</v>
      </c>
      <c r="H159" s="6">
        <v>30</v>
      </c>
      <c r="I159" s="6">
        <v>7</v>
      </c>
      <c r="J159" s="6">
        <v>0</v>
      </c>
      <c r="K159" s="6">
        <v>0</v>
      </c>
      <c r="L159" s="6" t="s">
        <v>20</v>
      </c>
      <c r="M159" s="23">
        <v>18.329999999999998</v>
      </c>
    </row>
    <row r="160" spans="1:13" x14ac:dyDescent="0.3">
      <c r="A160" s="21">
        <v>159</v>
      </c>
      <c r="B160" s="6">
        <v>2019</v>
      </c>
      <c r="C160" s="6" t="s">
        <v>14</v>
      </c>
      <c r="D160" s="6">
        <v>23</v>
      </c>
      <c r="E160" s="6">
        <v>25</v>
      </c>
      <c r="F160" s="6">
        <v>3</v>
      </c>
      <c r="G160" s="6">
        <v>0</v>
      </c>
      <c r="H160" s="6">
        <v>92</v>
      </c>
      <c r="I160" s="6">
        <v>11</v>
      </c>
      <c r="J160" s="6">
        <v>0</v>
      </c>
      <c r="K160" s="6">
        <v>0</v>
      </c>
      <c r="L160" s="6" t="s">
        <v>20</v>
      </c>
      <c r="M160" s="23">
        <v>19.5</v>
      </c>
    </row>
    <row r="161" spans="1:13" x14ac:dyDescent="0.3">
      <c r="A161" s="21">
        <v>160</v>
      </c>
      <c r="B161" s="6">
        <v>2019</v>
      </c>
      <c r="C161" s="6" t="s">
        <v>12</v>
      </c>
      <c r="D161" s="6">
        <v>84</v>
      </c>
      <c r="E161" s="6">
        <v>49</v>
      </c>
      <c r="F161" s="6">
        <v>9</v>
      </c>
      <c r="G161" s="6">
        <v>2</v>
      </c>
      <c r="H161" s="6">
        <v>171.43</v>
      </c>
      <c r="I161" s="6">
        <v>2</v>
      </c>
      <c r="J161" s="6">
        <v>1</v>
      </c>
      <c r="K161" s="6">
        <v>0</v>
      </c>
      <c r="L161" s="6" t="s">
        <v>20</v>
      </c>
      <c r="M161" s="23">
        <v>32.4</v>
      </c>
    </row>
    <row r="162" spans="1:13" x14ac:dyDescent="0.3">
      <c r="A162" s="21">
        <v>161</v>
      </c>
      <c r="B162" s="6">
        <v>2019</v>
      </c>
      <c r="C162" s="6" t="s">
        <v>16</v>
      </c>
      <c r="D162" s="6">
        <v>41</v>
      </c>
      <c r="E162" s="6">
        <v>33</v>
      </c>
      <c r="F162" s="6">
        <v>1</v>
      </c>
      <c r="G162" s="6">
        <v>2</v>
      </c>
      <c r="H162" s="6">
        <v>124.24</v>
      </c>
      <c r="I162" s="6">
        <v>5</v>
      </c>
      <c r="J162" s="6">
        <v>0</v>
      </c>
      <c r="K162" s="6">
        <v>0</v>
      </c>
      <c r="L162" s="6" t="s">
        <v>20</v>
      </c>
      <c r="M162" s="23">
        <v>33.83</v>
      </c>
    </row>
    <row r="163" spans="1:13" x14ac:dyDescent="0.3">
      <c r="A163" s="21">
        <v>162</v>
      </c>
      <c r="B163" s="6">
        <v>2019</v>
      </c>
      <c r="C163" s="6" t="s">
        <v>18</v>
      </c>
      <c r="D163" s="6">
        <v>67</v>
      </c>
      <c r="E163" s="6">
        <v>53</v>
      </c>
      <c r="F163" s="6">
        <v>8</v>
      </c>
      <c r="G163" s="6">
        <v>0</v>
      </c>
      <c r="H163" s="6">
        <v>126.42</v>
      </c>
      <c r="I163" s="6">
        <v>10</v>
      </c>
      <c r="J163" s="6">
        <v>1</v>
      </c>
      <c r="K163" s="6">
        <v>0</v>
      </c>
      <c r="L163" s="6" t="s">
        <v>20</v>
      </c>
      <c r="M163" s="23">
        <v>38.57</v>
      </c>
    </row>
    <row r="164" spans="1:13" x14ac:dyDescent="0.3">
      <c r="A164" s="21">
        <v>163</v>
      </c>
      <c r="B164" s="6">
        <v>2019</v>
      </c>
      <c r="C164" s="6" t="s">
        <v>13</v>
      </c>
      <c r="D164" s="6">
        <v>8</v>
      </c>
      <c r="E164" s="6">
        <v>9</v>
      </c>
      <c r="F164" s="6">
        <v>1</v>
      </c>
      <c r="G164" s="6">
        <v>0</v>
      </c>
      <c r="H164" s="6">
        <v>88.89</v>
      </c>
      <c r="I164" s="6">
        <v>4</v>
      </c>
      <c r="J164" s="6">
        <v>0</v>
      </c>
      <c r="K164" s="6">
        <v>0</v>
      </c>
      <c r="L164" s="6" t="s">
        <v>20</v>
      </c>
      <c r="M164" s="23">
        <v>34.75</v>
      </c>
    </row>
    <row r="165" spans="1:13" x14ac:dyDescent="0.3">
      <c r="A165" s="21">
        <v>164</v>
      </c>
      <c r="B165" s="6">
        <v>2019</v>
      </c>
      <c r="C165" s="6" t="s">
        <v>12</v>
      </c>
      <c r="D165" s="6">
        <v>100</v>
      </c>
      <c r="E165" s="6">
        <v>58</v>
      </c>
      <c r="F165" s="6">
        <v>9</v>
      </c>
      <c r="G165" s="6">
        <v>4</v>
      </c>
      <c r="H165" s="6">
        <v>172.41</v>
      </c>
      <c r="I165" s="6">
        <v>5</v>
      </c>
      <c r="J165" s="6">
        <v>1</v>
      </c>
      <c r="K165" s="6">
        <v>1</v>
      </c>
      <c r="L165" s="6" t="s">
        <v>20</v>
      </c>
      <c r="M165" s="23">
        <v>42</v>
      </c>
    </row>
    <row r="166" spans="1:13" x14ac:dyDescent="0.3">
      <c r="A166" s="21">
        <v>165</v>
      </c>
      <c r="B166" s="6">
        <v>2019</v>
      </c>
      <c r="C166" s="6" t="s">
        <v>15</v>
      </c>
      <c r="D166" s="6">
        <v>9</v>
      </c>
      <c r="E166" s="6">
        <v>8</v>
      </c>
      <c r="F166" s="6">
        <v>2</v>
      </c>
      <c r="G166" s="6">
        <v>0</v>
      </c>
      <c r="H166" s="6">
        <v>112.5</v>
      </c>
      <c r="I166" s="6">
        <v>5</v>
      </c>
      <c r="J166" s="6">
        <v>0</v>
      </c>
      <c r="K166" s="6">
        <v>0</v>
      </c>
      <c r="L166" s="6" t="s">
        <v>20</v>
      </c>
      <c r="M166" s="23">
        <v>38.700000000000003</v>
      </c>
    </row>
    <row r="167" spans="1:13" x14ac:dyDescent="0.3">
      <c r="A167" s="21">
        <v>166</v>
      </c>
      <c r="B167" s="6">
        <v>2019</v>
      </c>
      <c r="C167" s="6" t="s">
        <v>18</v>
      </c>
      <c r="D167" s="6">
        <v>13</v>
      </c>
      <c r="E167" s="6">
        <v>8</v>
      </c>
      <c r="F167" s="6">
        <v>2</v>
      </c>
      <c r="G167" s="6">
        <v>0</v>
      </c>
      <c r="H167" s="6">
        <v>162.5</v>
      </c>
      <c r="I167" s="6">
        <v>1</v>
      </c>
      <c r="J167" s="6">
        <v>0</v>
      </c>
      <c r="K167" s="6">
        <v>0</v>
      </c>
      <c r="L167" s="6" t="s">
        <v>20</v>
      </c>
      <c r="M167" s="23">
        <v>36.36</v>
      </c>
    </row>
    <row r="168" spans="1:13" x14ac:dyDescent="0.3">
      <c r="A168" s="21">
        <v>167</v>
      </c>
      <c r="B168" s="6">
        <v>2019</v>
      </c>
      <c r="C168" s="6" t="s">
        <v>16</v>
      </c>
      <c r="D168" s="6">
        <v>23</v>
      </c>
      <c r="E168" s="6">
        <v>17</v>
      </c>
      <c r="F168" s="6">
        <v>2</v>
      </c>
      <c r="G168" s="6">
        <v>1</v>
      </c>
      <c r="H168" s="6">
        <v>135.29</v>
      </c>
      <c r="I168" s="6">
        <v>5</v>
      </c>
      <c r="J168" s="6">
        <v>0</v>
      </c>
      <c r="K168" s="6">
        <v>0</v>
      </c>
      <c r="L168" s="6" t="s">
        <v>20</v>
      </c>
      <c r="M168" s="23">
        <v>35.25</v>
      </c>
    </row>
    <row r="169" spans="1:13" x14ac:dyDescent="0.3">
      <c r="A169" s="21">
        <v>168</v>
      </c>
      <c r="B169" s="6">
        <v>2019</v>
      </c>
      <c r="C169" s="6" t="s">
        <v>14</v>
      </c>
      <c r="D169" s="6">
        <v>25</v>
      </c>
      <c r="E169" s="6">
        <v>7</v>
      </c>
      <c r="F169" s="6">
        <v>1</v>
      </c>
      <c r="G169" s="6">
        <v>2</v>
      </c>
      <c r="H169" s="6">
        <v>357.14</v>
      </c>
      <c r="I169" s="6">
        <v>2</v>
      </c>
      <c r="J169" s="6">
        <v>0</v>
      </c>
      <c r="K169" s="6">
        <v>0</v>
      </c>
      <c r="L169" s="6" t="s">
        <v>20</v>
      </c>
      <c r="M169" s="23">
        <v>34.46</v>
      </c>
    </row>
    <row r="170" spans="1:13" x14ac:dyDescent="0.3">
      <c r="A170" s="21">
        <v>169</v>
      </c>
      <c r="B170" s="6">
        <v>2019</v>
      </c>
      <c r="C170" s="6" t="s">
        <v>53</v>
      </c>
      <c r="D170" s="6">
        <v>16</v>
      </c>
      <c r="E170" s="6">
        <v>7</v>
      </c>
      <c r="F170" s="6">
        <v>2</v>
      </c>
      <c r="G170" s="6">
        <v>1</v>
      </c>
      <c r="H170" s="6">
        <v>228.57</v>
      </c>
      <c r="I170" s="6">
        <v>2</v>
      </c>
      <c r="J170" s="6">
        <v>0</v>
      </c>
      <c r="K170" s="6">
        <v>0</v>
      </c>
      <c r="L170" s="6" t="s">
        <v>20</v>
      </c>
      <c r="M170" s="23">
        <v>33.14</v>
      </c>
    </row>
    <row r="171" spans="1:13" x14ac:dyDescent="0.3">
      <c r="A171" s="21">
        <v>170</v>
      </c>
      <c r="B171" s="6">
        <v>2020</v>
      </c>
      <c r="C171" s="6" t="s">
        <v>53</v>
      </c>
      <c r="D171" s="6">
        <v>14</v>
      </c>
      <c r="E171" s="6">
        <v>13</v>
      </c>
      <c r="F171" s="6">
        <v>0</v>
      </c>
      <c r="G171" s="6">
        <v>0</v>
      </c>
      <c r="H171" s="6">
        <v>107.69</v>
      </c>
      <c r="I171" s="6">
        <v>2</v>
      </c>
      <c r="J171" s="6">
        <v>0</v>
      </c>
      <c r="K171" s="6">
        <v>0</v>
      </c>
      <c r="L171" s="6" t="s">
        <v>20</v>
      </c>
      <c r="M171" s="23">
        <v>14</v>
      </c>
    </row>
    <row r="172" spans="1:13" x14ac:dyDescent="0.3">
      <c r="A172" s="21">
        <v>171</v>
      </c>
      <c r="B172" s="6">
        <v>2020</v>
      </c>
      <c r="C172" s="6" t="s">
        <v>18</v>
      </c>
      <c r="D172" s="6">
        <v>1</v>
      </c>
      <c r="E172" s="6">
        <v>5</v>
      </c>
      <c r="F172" s="6">
        <v>0</v>
      </c>
      <c r="G172" s="6">
        <v>0</v>
      </c>
      <c r="H172" s="6">
        <v>20</v>
      </c>
      <c r="I172" s="6">
        <v>4</v>
      </c>
      <c r="J172" s="6">
        <v>0</v>
      </c>
      <c r="K172" s="6">
        <v>0</v>
      </c>
      <c r="L172" s="6" t="s">
        <v>20</v>
      </c>
      <c r="M172" s="23">
        <v>7.5</v>
      </c>
    </row>
    <row r="173" spans="1:13" x14ac:dyDescent="0.3">
      <c r="A173" s="21">
        <v>172</v>
      </c>
      <c r="B173" s="6">
        <v>2020</v>
      </c>
      <c r="C173" s="6" t="s">
        <v>13</v>
      </c>
      <c r="D173" s="6">
        <v>3</v>
      </c>
      <c r="E173" s="6">
        <v>11</v>
      </c>
      <c r="F173" s="6">
        <v>0</v>
      </c>
      <c r="G173" s="6">
        <v>0</v>
      </c>
      <c r="H173" s="6">
        <v>27.27</v>
      </c>
      <c r="I173" s="6">
        <v>8</v>
      </c>
      <c r="J173" s="6">
        <v>0</v>
      </c>
      <c r="K173" s="6">
        <v>0</v>
      </c>
      <c r="L173" s="6" t="s">
        <v>20</v>
      </c>
      <c r="M173" s="23">
        <v>6</v>
      </c>
    </row>
    <row r="174" spans="1:13" x14ac:dyDescent="0.3">
      <c r="A174" s="21">
        <v>173</v>
      </c>
      <c r="B174" s="6">
        <v>2020</v>
      </c>
      <c r="C174" s="6" t="s">
        <v>14</v>
      </c>
      <c r="D174" s="6">
        <v>72</v>
      </c>
      <c r="E174" s="6">
        <v>53</v>
      </c>
      <c r="F174" s="6">
        <v>7</v>
      </c>
      <c r="G174" s="6">
        <v>2</v>
      </c>
      <c r="H174" s="6">
        <v>135.85</v>
      </c>
      <c r="I174" s="6">
        <v>19</v>
      </c>
      <c r="J174" s="6">
        <v>1</v>
      </c>
      <c r="K174" s="6">
        <v>0</v>
      </c>
      <c r="L174" s="6" t="s">
        <v>19</v>
      </c>
      <c r="M174" s="23">
        <v>30</v>
      </c>
    </row>
    <row r="175" spans="1:13" x14ac:dyDescent="0.3">
      <c r="A175" s="21">
        <v>174</v>
      </c>
      <c r="B175" s="6">
        <v>2020</v>
      </c>
      <c r="C175" s="6" t="s">
        <v>16</v>
      </c>
      <c r="D175" s="6">
        <v>43</v>
      </c>
      <c r="E175" s="6">
        <v>39</v>
      </c>
      <c r="F175" s="6">
        <v>2</v>
      </c>
      <c r="G175" s="6">
        <v>1</v>
      </c>
      <c r="H175" s="6">
        <v>110.26</v>
      </c>
      <c r="I175" s="6">
        <v>12</v>
      </c>
      <c r="J175" s="6">
        <v>0</v>
      </c>
      <c r="K175" s="6">
        <v>0</v>
      </c>
      <c r="L175" s="6" t="s">
        <v>20</v>
      </c>
      <c r="M175" s="23">
        <v>33.25</v>
      </c>
    </row>
    <row r="176" spans="1:13" x14ac:dyDescent="0.3">
      <c r="A176" s="21">
        <v>175</v>
      </c>
      <c r="B176" s="6">
        <v>2020</v>
      </c>
      <c r="C176" s="6" t="s">
        <v>15</v>
      </c>
      <c r="D176" s="6">
        <v>90</v>
      </c>
      <c r="E176" s="6">
        <v>52</v>
      </c>
      <c r="F176" s="6">
        <v>4</v>
      </c>
      <c r="G176" s="6">
        <v>4</v>
      </c>
      <c r="H176" s="6">
        <v>173.08</v>
      </c>
      <c r="I176" s="6">
        <v>5</v>
      </c>
      <c r="J176" s="6">
        <v>1</v>
      </c>
      <c r="K176" s="6">
        <v>0</v>
      </c>
      <c r="L176" s="6" t="s">
        <v>19</v>
      </c>
      <c r="M176" s="23">
        <v>55.75</v>
      </c>
    </row>
    <row r="177" spans="1:13" x14ac:dyDescent="0.3">
      <c r="A177" s="21">
        <v>176</v>
      </c>
      <c r="B177" s="6">
        <v>2020</v>
      </c>
      <c r="C177" s="6" t="s">
        <v>12</v>
      </c>
      <c r="D177" s="6">
        <v>33</v>
      </c>
      <c r="E177" s="6">
        <v>28</v>
      </c>
      <c r="F177" s="6">
        <v>1</v>
      </c>
      <c r="G177" s="6">
        <v>0</v>
      </c>
      <c r="H177" s="6">
        <v>117.86</v>
      </c>
      <c r="I177" s="6">
        <v>5</v>
      </c>
      <c r="J177" s="6">
        <v>0</v>
      </c>
      <c r="K177" s="6">
        <v>0</v>
      </c>
      <c r="L177" s="6" t="s">
        <v>19</v>
      </c>
      <c r="M177" s="23">
        <v>64</v>
      </c>
    </row>
    <row r="178" spans="1:13" x14ac:dyDescent="0.3">
      <c r="A178" s="21">
        <v>177</v>
      </c>
      <c r="B178" s="6">
        <v>2020</v>
      </c>
      <c r="C178" s="6" t="s">
        <v>18</v>
      </c>
      <c r="D178" s="6">
        <v>48</v>
      </c>
      <c r="E178" s="6">
        <v>39</v>
      </c>
      <c r="F178" s="6">
        <v>3</v>
      </c>
      <c r="G178" s="6">
        <v>0</v>
      </c>
      <c r="H178" s="6">
        <v>123.08</v>
      </c>
      <c r="I178" s="6">
        <v>5</v>
      </c>
      <c r="J178" s="6">
        <v>0</v>
      </c>
      <c r="K178" s="6">
        <v>0</v>
      </c>
      <c r="L178" s="6" t="s">
        <v>20</v>
      </c>
      <c r="M178" s="23">
        <v>60.8</v>
      </c>
    </row>
    <row r="179" spans="1:13" x14ac:dyDescent="0.3">
      <c r="A179" s="21">
        <v>178</v>
      </c>
      <c r="B179" s="6">
        <v>2020</v>
      </c>
      <c r="C179" s="6" t="s">
        <v>14</v>
      </c>
      <c r="D179" s="6">
        <v>43</v>
      </c>
      <c r="E179" s="6">
        <v>32</v>
      </c>
      <c r="F179" s="6">
        <v>1</v>
      </c>
      <c r="G179" s="6">
        <v>2</v>
      </c>
      <c r="H179" s="6">
        <v>134.38</v>
      </c>
      <c r="I179" s="6">
        <v>8</v>
      </c>
      <c r="J179" s="6">
        <v>0</v>
      </c>
      <c r="K179" s="6">
        <v>0</v>
      </c>
      <c r="L179" s="6" t="s">
        <v>20</v>
      </c>
      <c r="M179" s="23">
        <v>57.83</v>
      </c>
    </row>
    <row r="180" spans="1:13" x14ac:dyDescent="0.3">
      <c r="A180" s="21">
        <v>179</v>
      </c>
      <c r="B180" s="6">
        <v>2020</v>
      </c>
      <c r="C180" s="6" t="s">
        <v>12</v>
      </c>
      <c r="D180" s="6">
        <v>18</v>
      </c>
      <c r="E180" s="6">
        <v>17</v>
      </c>
      <c r="F180" s="6">
        <v>2</v>
      </c>
      <c r="G180" s="6">
        <v>0</v>
      </c>
      <c r="H180" s="6">
        <v>105.88</v>
      </c>
      <c r="I180" s="6">
        <v>6</v>
      </c>
      <c r="J180" s="6">
        <v>0</v>
      </c>
      <c r="K180" s="6">
        <v>0</v>
      </c>
      <c r="L180" s="6" t="s">
        <v>19</v>
      </c>
      <c r="M180" s="23">
        <v>60.83</v>
      </c>
    </row>
    <row r="181" spans="1:13" x14ac:dyDescent="0.3">
      <c r="A181" s="21">
        <v>180</v>
      </c>
      <c r="B181" s="6">
        <v>2020</v>
      </c>
      <c r="C181" s="6" t="s">
        <v>15</v>
      </c>
      <c r="D181" s="6">
        <v>50</v>
      </c>
      <c r="E181" s="6">
        <v>43</v>
      </c>
      <c r="F181" s="6">
        <v>1</v>
      </c>
      <c r="G181" s="6">
        <v>1</v>
      </c>
      <c r="H181" s="6">
        <v>116.28</v>
      </c>
      <c r="I181" s="6">
        <v>7</v>
      </c>
      <c r="J181" s="6">
        <v>1</v>
      </c>
      <c r="K181" s="6">
        <v>0</v>
      </c>
      <c r="L181" s="6" t="s">
        <v>20</v>
      </c>
      <c r="M181" s="23">
        <v>59.29</v>
      </c>
    </row>
    <row r="182" spans="1:13" x14ac:dyDescent="0.3">
      <c r="A182" s="21">
        <v>181</v>
      </c>
      <c r="B182" s="6">
        <v>2020</v>
      </c>
      <c r="C182" s="6" t="s">
        <v>13</v>
      </c>
      <c r="D182" s="6">
        <v>9</v>
      </c>
      <c r="E182" s="6">
        <v>14</v>
      </c>
      <c r="F182" s="6">
        <v>0</v>
      </c>
      <c r="G182" s="6">
        <v>0</v>
      </c>
      <c r="H182" s="6">
        <v>64.290000000000006</v>
      </c>
      <c r="I182" s="6">
        <v>7</v>
      </c>
      <c r="J182" s="6">
        <v>0</v>
      </c>
      <c r="K182" s="6">
        <v>0</v>
      </c>
      <c r="L182" s="6" t="s">
        <v>20</v>
      </c>
      <c r="M182" s="23">
        <v>53</v>
      </c>
    </row>
    <row r="183" spans="1:13" x14ac:dyDescent="0.3">
      <c r="A183" s="21">
        <v>182</v>
      </c>
      <c r="B183" s="6">
        <v>2020</v>
      </c>
      <c r="C183" s="6" t="s">
        <v>53</v>
      </c>
      <c r="D183" s="6">
        <v>7</v>
      </c>
      <c r="E183" s="6">
        <v>7</v>
      </c>
      <c r="F183" s="6">
        <v>0</v>
      </c>
      <c r="G183" s="6">
        <v>0</v>
      </c>
      <c r="H183" s="6">
        <v>100</v>
      </c>
      <c r="I183" s="6">
        <v>2</v>
      </c>
      <c r="J183" s="6">
        <v>0</v>
      </c>
      <c r="K183" s="6">
        <v>0</v>
      </c>
      <c r="L183" s="6" t="s">
        <v>20</v>
      </c>
      <c r="M183" s="23">
        <v>47.89</v>
      </c>
    </row>
    <row r="184" spans="1:13" x14ac:dyDescent="0.3">
      <c r="A184" s="21">
        <v>183</v>
      </c>
      <c r="B184" s="6">
        <v>2020</v>
      </c>
      <c r="C184" s="6" t="s">
        <v>16</v>
      </c>
      <c r="D184" s="6">
        <v>29</v>
      </c>
      <c r="E184" s="6">
        <v>24</v>
      </c>
      <c r="F184" s="6">
        <v>2</v>
      </c>
      <c r="G184" s="6">
        <v>1</v>
      </c>
      <c r="H184" s="6">
        <v>120.83</v>
      </c>
      <c r="I184" s="6">
        <v>7</v>
      </c>
      <c r="J184" s="6">
        <v>0</v>
      </c>
      <c r="K184" s="6">
        <v>0</v>
      </c>
      <c r="L184" s="6" t="s">
        <v>20</v>
      </c>
      <c r="M184" s="23">
        <v>46</v>
      </c>
    </row>
    <row r="185" spans="1:13" x14ac:dyDescent="0.3">
      <c r="A185" s="21">
        <v>184</v>
      </c>
      <c r="B185" s="6">
        <v>2020</v>
      </c>
      <c r="C185" s="6" t="s">
        <v>53</v>
      </c>
      <c r="D185" s="6">
        <v>6</v>
      </c>
      <c r="E185" s="6">
        <v>7</v>
      </c>
      <c r="F185" s="6">
        <v>0</v>
      </c>
      <c r="G185" s="6">
        <v>0</v>
      </c>
      <c r="H185" s="6">
        <v>85.71</v>
      </c>
      <c r="I185" s="6">
        <v>3</v>
      </c>
      <c r="J185" s="6">
        <v>0</v>
      </c>
      <c r="K185" s="6">
        <v>0</v>
      </c>
      <c r="L185" s="6" t="s">
        <v>20</v>
      </c>
      <c r="M185" s="23">
        <v>42.36</v>
      </c>
    </row>
    <row r="186" spans="1:13" x14ac:dyDescent="0.3">
      <c r="A186" s="21">
        <v>185</v>
      </c>
      <c r="B186" s="6">
        <v>2021</v>
      </c>
      <c r="C186" s="6" t="s">
        <v>13</v>
      </c>
      <c r="D186" s="6">
        <v>33</v>
      </c>
      <c r="E186" s="6">
        <v>29</v>
      </c>
      <c r="F186" s="6">
        <v>4</v>
      </c>
      <c r="G186" s="6">
        <v>0</v>
      </c>
      <c r="H186" s="6">
        <v>113.79</v>
      </c>
      <c r="I186" s="6">
        <v>15</v>
      </c>
      <c r="J186" s="6">
        <v>0</v>
      </c>
      <c r="K186" s="6">
        <v>0</v>
      </c>
      <c r="L186" s="6" t="s">
        <v>20</v>
      </c>
      <c r="M186" s="23">
        <v>33</v>
      </c>
    </row>
    <row r="187" spans="1:13" x14ac:dyDescent="0.3">
      <c r="A187" s="21">
        <v>186</v>
      </c>
      <c r="B187" s="6">
        <v>2021</v>
      </c>
      <c r="C187" s="6" t="s">
        <v>53</v>
      </c>
      <c r="D187" s="6">
        <v>33</v>
      </c>
      <c r="E187" s="6">
        <v>29</v>
      </c>
      <c r="F187" s="6">
        <v>4</v>
      </c>
      <c r="G187" s="6">
        <v>0</v>
      </c>
      <c r="H187" s="6">
        <v>113.79</v>
      </c>
      <c r="I187" s="6">
        <v>15</v>
      </c>
      <c r="J187" s="6">
        <v>0</v>
      </c>
      <c r="K187" s="6">
        <v>0</v>
      </c>
      <c r="L187" s="6" t="s">
        <v>20</v>
      </c>
      <c r="M187" s="23">
        <v>33</v>
      </c>
    </row>
    <row r="188" spans="1:13" x14ac:dyDescent="0.3">
      <c r="A188" s="21">
        <v>187</v>
      </c>
      <c r="B188" s="6">
        <v>2021</v>
      </c>
      <c r="C188" s="6" t="s">
        <v>12</v>
      </c>
      <c r="D188" s="6">
        <v>5</v>
      </c>
      <c r="E188" s="6">
        <v>6</v>
      </c>
      <c r="F188" s="6">
        <v>1</v>
      </c>
      <c r="G188" s="6">
        <v>0</v>
      </c>
      <c r="H188" s="6">
        <v>83.33</v>
      </c>
      <c r="I188" s="6">
        <v>4</v>
      </c>
      <c r="J188" s="6">
        <v>0</v>
      </c>
      <c r="K188" s="6">
        <v>0</v>
      </c>
      <c r="L188" s="6" t="s">
        <v>20</v>
      </c>
      <c r="M188" s="23">
        <v>23.67</v>
      </c>
    </row>
    <row r="189" spans="1:13" x14ac:dyDescent="0.3">
      <c r="A189" s="21">
        <v>188</v>
      </c>
      <c r="B189" s="6">
        <v>2021</v>
      </c>
      <c r="C189" s="6" t="s">
        <v>14</v>
      </c>
      <c r="D189" s="6">
        <v>72</v>
      </c>
      <c r="E189" s="6">
        <v>47</v>
      </c>
      <c r="F189" s="6">
        <v>6</v>
      </c>
      <c r="G189" s="6">
        <v>3</v>
      </c>
      <c r="H189" s="6">
        <v>153.19</v>
      </c>
      <c r="I189" s="6">
        <v>8</v>
      </c>
      <c r="J189" s="6">
        <v>1</v>
      </c>
      <c r="K189" s="6">
        <v>0</v>
      </c>
      <c r="L189" s="6" t="s">
        <v>19</v>
      </c>
      <c r="M189" s="23">
        <v>47.67</v>
      </c>
    </row>
    <row r="190" spans="1:13" x14ac:dyDescent="0.3">
      <c r="A190" s="21">
        <v>189</v>
      </c>
      <c r="B190" s="6">
        <v>2021</v>
      </c>
      <c r="C190" s="6" t="s">
        <v>15</v>
      </c>
      <c r="D190" s="6">
        <v>8</v>
      </c>
      <c r="E190" s="6">
        <v>7</v>
      </c>
      <c r="F190" s="6">
        <v>1</v>
      </c>
      <c r="G190" s="6">
        <v>0</v>
      </c>
      <c r="H190" s="6">
        <v>114.29</v>
      </c>
      <c r="I190" s="6">
        <v>2</v>
      </c>
      <c r="J190" s="6">
        <v>0</v>
      </c>
      <c r="K190" s="6">
        <v>0</v>
      </c>
      <c r="L190" s="6" t="s">
        <v>20</v>
      </c>
      <c r="M190" s="23">
        <v>37.75</v>
      </c>
    </row>
    <row r="191" spans="1:13" x14ac:dyDescent="0.3">
      <c r="A191" s="21">
        <v>190</v>
      </c>
      <c r="B191" s="6">
        <v>2021</v>
      </c>
      <c r="C191" s="6" t="s">
        <v>16</v>
      </c>
      <c r="D191" s="6">
        <v>12</v>
      </c>
      <c r="E191" s="6">
        <v>11</v>
      </c>
      <c r="F191" s="6">
        <v>2</v>
      </c>
      <c r="G191" s="6">
        <v>0</v>
      </c>
      <c r="H191" s="6">
        <v>109.09</v>
      </c>
      <c r="I191" s="6">
        <v>5</v>
      </c>
      <c r="J191" s="6">
        <v>0</v>
      </c>
      <c r="K191" s="6">
        <v>0</v>
      </c>
      <c r="L191" s="6" t="s">
        <v>20</v>
      </c>
      <c r="M191" s="23">
        <v>32.6</v>
      </c>
    </row>
    <row r="192" spans="1:13" x14ac:dyDescent="0.3">
      <c r="A192" s="21">
        <v>191</v>
      </c>
      <c r="B192" s="6">
        <v>2021</v>
      </c>
      <c r="C192" s="6" t="s">
        <v>18</v>
      </c>
      <c r="D192" s="6">
        <v>35</v>
      </c>
      <c r="E192" s="6">
        <v>3</v>
      </c>
      <c r="F192" s="6">
        <v>0</v>
      </c>
      <c r="G192" s="6">
        <v>0</v>
      </c>
      <c r="H192" s="6">
        <v>0</v>
      </c>
      <c r="I192" s="6">
        <v>3</v>
      </c>
      <c r="J192" s="6">
        <v>0</v>
      </c>
      <c r="K192" s="6">
        <v>0</v>
      </c>
      <c r="L192" s="6" t="s">
        <v>20</v>
      </c>
      <c r="M192" s="23">
        <v>27.17</v>
      </c>
    </row>
    <row r="193" spans="1:13" x14ac:dyDescent="0.3">
      <c r="A193" s="21">
        <v>192</v>
      </c>
      <c r="B193" s="6">
        <v>2021</v>
      </c>
      <c r="C193" s="6" t="s">
        <v>12</v>
      </c>
      <c r="D193" s="6">
        <v>5</v>
      </c>
      <c r="E193" s="6">
        <v>4</v>
      </c>
      <c r="F193" s="6">
        <v>1</v>
      </c>
      <c r="G193" s="6">
        <v>0</v>
      </c>
      <c r="H193" s="6">
        <v>125</v>
      </c>
      <c r="I193" s="6">
        <v>2</v>
      </c>
      <c r="J193" s="6">
        <v>0</v>
      </c>
      <c r="K193" s="6">
        <v>0</v>
      </c>
      <c r="L193" s="6" t="s">
        <v>20</v>
      </c>
      <c r="M193" s="23">
        <v>24</v>
      </c>
    </row>
    <row r="194" spans="1:13" x14ac:dyDescent="0.3">
      <c r="A194" s="21">
        <v>193</v>
      </c>
      <c r="B194" s="6">
        <v>2021</v>
      </c>
      <c r="C194" s="6" t="s">
        <v>15</v>
      </c>
      <c r="D194" s="6">
        <v>53</v>
      </c>
      <c r="E194" s="6">
        <v>41</v>
      </c>
      <c r="F194" s="6">
        <v>6</v>
      </c>
      <c r="G194" s="6">
        <v>1</v>
      </c>
      <c r="H194" s="6">
        <v>129.27000000000001</v>
      </c>
      <c r="I194" s="6">
        <v>11</v>
      </c>
      <c r="J194" s="6">
        <v>1</v>
      </c>
      <c r="K194" s="6">
        <v>0</v>
      </c>
      <c r="L194" s="6" t="s">
        <v>20</v>
      </c>
      <c r="M194" s="23">
        <v>27.62</v>
      </c>
    </row>
    <row r="195" spans="1:13" x14ac:dyDescent="0.3">
      <c r="A195" s="21">
        <v>194</v>
      </c>
      <c r="B195" s="6">
        <v>2021</v>
      </c>
      <c r="C195" s="6" t="s">
        <v>13</v>
      </c>
      <c r="D195" s="6">
        <v>51</v>
      </c>
      <c r="E195" s="6">
        <v>42</v>
      </c>
      <c r="F195" s="6">
        <v>3</v>
      </c>
      <c r="G195" s="6">
        <v>3</v>
      </c>
      <c r="H195" s="6">
        <v>121.43</v>
      </c>
      <c r="I195" s="6">
        <v>12</v>
      </c>
      <c r="J195" s="6">
        <v>1</v>
      </c>
      <c r="K195" s="6">
        <v>0</v>
      </c>
      <c r="L195" s="6" t="s">
        <v>20</v>
      </c>
      <c r="M195" s="23">
        <v>30.22</v>
      </c>
    </row>
    <row r="196" spans="1:13" x14ac:dyDescent="0.3">
      <c r="A196" s="21">
        <v>195</v>
      </c>
      <c r="B196" s="6">
        <v>2021</v>
      </c>
      <c r="C196" s="6" t="s">
        <v>14</v>
      </c>
      <c r="D196" s="6">
        <v>25</v>
      </c>
      <c r="E196" s="6">
        <v>20</v>
      </c>
      <c r="F196" s="6">
        <v>4</v>
      </c>
      <c r="G196" s="6">
        <v>0</v>
      </c>
      <c r="H196" s="6">
        <v>125</v>
      </c>
      <c r="I196" s="6">
        <v>7</v>
      </c>
      <c r="J196" s="6">
        <v>0</v>
      </c>
      <c r="K196" s="6">
        <v>0</v>
      </c>
      <c r="L196" s="6" t="s">
        <v>20</v>
      </c>
      <c r="M196" s="23">
        <v>32.5</v>
      </c>
    </row>
    <row r="197" spans="1:13" x14ac:dyDescent="0.3">
      <c r="A197" s="21">
        <v>196</v>
      </c>
      <c r="B197" s="6">
        <v>2021</v>
      </c>
      <c r="C197" s="6" t="s">
        <v>18</v>
      </c>
      <c r="D197" s="6">
        <v>25</v>
      </c>
      <c r="E197" s="6">
        <v>24</v>
      </c>
      <c r="F197" s="6">
        <v>2</v>
      </c>
      <c r="G197" s="6">
        <v>1</v>
      </c>
      <c r="H197" s="6">
        <v>104.17</v>
      </c>
      <c r="I197" s="6">
        <v>12</v>
      </c>
      <c r="J197" s="6">
        <v>0</v>
      </c>
      <c r="K197" s="6">
        <v>0</v>
      </c>
      <c r="L197" s="6" t="s">
        <v>20</v>
      </c>
      <c r="M197" s="23">
        <v>31.82</v>
      </c>
    </row>
    <row r="198" spans="1:13" x14ac:dyDescent="0.3">
      <c r="A198" s="21">
        <v>197</v>
      </c>
      <c r="B198" s="6">
        <v>2021</v>
      </c>
      <c r="C198" s="6" t="s">
        <v>53</v>
      </c>
      <c r="D198" s="6">
        <v>5</v>
      </c>
      <c r="E198" s="6">
        <v>4</v>
      </c>
      <c r="F198" s="6">
        <v>1</v>
      </c>
      <c r="G198" s="6">
        <v>0</v>
      </c>
      <c r="H198" s="6">
        <v>125</v>
      </c>
      <c r="I198" s="6">
        <v>2</v>
      </c>
      <c r="J198" s="6">
        <v>0</v>
      </c>
      <c r="K198" s="6">
        <v>0</v>
      </c>
      <c r="L198" s="6" t="s">
        <v>20</v>
      </c>
      <c r="M198" s="23">
        <v>29.58</v>
      </c>
    </row>
    <row r="199" spans="1:13" x14ac:dyDescent="0.3">
      <c r="A199" s="21">
        <v>198</v>
      </c>
      <c r="B199" s="6">
        <v>2021</v>
      </c>
      <c r="C199" s="6" t="s">
        <v>16</v>
      </c>
      <c r="D199" s="6">
        <v>4</v>
      </c>
      <c r="E199" s="6">
        <v>8</v>
      </c>
      <c r="F199" s="6">
        <v>0</v>
      </c>
      <c r="G199" s="6">
        <v>0</v>
      </c>
      <c r="H199" s="6">
        <v>50</v>
      </c>
      <c r="I199" s="6">
        <v>4</v>
      </c>
      <c r="J199" s="6">
        <v>0</v>
      </c>
      <c r="K199" s="6">
        <v>0</v>
      </c>
      <c r="L199" s="6" t="s">
        <v>33</v>
      </c>
      <c r="M199" s="23">
        <v>20</v>
      </c>
    </row>
    <row r="200" spans="1:13" x14ac:dyDescent="0.3">
      <c r="A200" s="21">
        <v>199</v>
      </c>
      <c r="B200" s="6">
        <v>2021</v>
      </c>
      <c r="C200" s="6" t="s">
        <v>12</v>
      </c>
      <c r="D200" s="6">
        <v>39</v>
      </c>
      <c r="E200" s="6">
        <v>20</v>
      </c>
      <c r="F200" s="6">
        <v>2</v>
      </c>
      <c r="G200" s="6">
        <v>2</v>
      </c>
      <c r="H200" s="6">
        <v>194</v>
      </c>
      <c r="I200" s="6">
        <v>7</v>
      </c>
      <c r="J200" s="6">
        <v>0</v>
      </c>
      <c r="K200" s="6">
        <v>0</v>
      </c>
      <c r="L200" s="6" t="s">
        <v>20</v>
      </c>
      <c r="M200" s="23">
        <v>28.92</v>
      </c>
    </row>
    <row r="201" spans="1:13" x14ac:dyDescent="0.3">
      <c r="A201" s="21">
        <v>200</v>
      </c>
      <c r="B201" s="6">
        <v>2022</v>
      </c>
      <c r="C201" s="6" t="s">
        <v>18</v>
      </c>
      <c r="D201" s="6">
        <v>41</v>
      </c>
      <c r="E201" s="6">
        <v>29</v>
      </c>
      <c r="F201" s="6">
        <v>1</v>
      </c>
      <c r="G201" s="6">
        <v>2</v>
      </c>
      <c r="H201" s="6">
        <v>141.38</v>
      </c>
      <c r="I201" s="6">
        <v>8</v>
      </c>
      <c r="J201" s="6">
        <v>0</v>
      </c>
      <c r="K201" s="6">
        <v>0</v>
      </c>
      <c r="L201" s="6" t="s">
        <v>19</v>
      </c>
      <c r="M201" s="25">
        <v>41</v>
      </c>
    </row>
    <row r="202" spans="1:13" x14ac:dyDescent="0.3">
      <c r="A202" s="21">
        <v>201</v>
      </c>
      <c r="B202" s="6">
        <v>2022</v>
      </c>
      <c r="C202" s="6" t="s">
        <v>12</v>
      </c>
      <c r="D202" s="6">
        <v>12</v>
      </c>
      <c r="E202" s="6">
        <v>7</v>
      </c>
      <c r="F202" s="6">
        <v>2</v>
      </c>
      <c r="G202" s="6">
        <v>0</v>
      </c>
      <c r="H202" s="6">
        <v>171.43</v>
      </c>
      <c r="I202" s="6">
        <v>5</v>
      </c>
      <c r="J202" s="6">
        <v>0</v>
      </c>
      <c r="K202" s="6">
        <v>0</v>
      </c>
      <c r="L202" s="6" t="s">
        <v>20</v>
      </c>
      <c r="M202" s="25">
        <v>53</v>
      </c>
    </row>
    <row r="203" spans="1:13" x14ac:dyDescent="0.3">
      <c r="A203" s="21">
        <v>202</v>
      </c>
      <c r="B203" s="6">
        <v>2022</v>
      </c>
      <c r="C203" s="6" t="s">
        <v>14</v>
      </c>
      <c r="D203" s="6">
        <v>5</v>
      </c>
      <c r="E203" s="6">
        <v>6</v>
      </c>
      <c r="F203" s="6">
        <v>0</v>
      </c>
      <c r="G203" s="6">
        <v>0</v>
      </c>
      <c r="H203" s="6">
        <v>83.33</v>
      </c>
      <c r="I203" s="6">
        <v>3</v>
      </c>
      <c r="J203" s="6">
        <v>0</v>
      </c>
      <c r="K203" s="6">
        <v>0</v>
      </c>
      <c r="L203" s="6" t="s">
        <v>20</v>
      </c>
      <c r="M203" s="25">
        <v>29</v>
      </c>
    </row>
    <row r="204" spans="1:13" x14ac:dyDescent="0.3">
      <c r="A204" s="21">
        <v>203</v>
      </c>
      <c r="B204" s="6">
        <v>2022</v>
      </c>
      <c r="C204" s="6" t="s">
        <v>13</v>
      </c>
      <c r="D204" s="6">
        <v>48</v>
      </c>
      <c r="E204" s="6">
        <v>36</v>
      </c>
      <c r="F204" s="6">
        <v>5</v>
      </c>
      <c r="G204" s="6">
        <v>0</v>
      </c>
      <c r="H204" s="6">
        <v>133.33000000000001</v>
      </c>
      <c r="I204" s="6">
        <v>4</v>
      </c>
      <c r="J204" s="6">
        <v>0</v>
      </c>
      <c r="K204" s="6">
        <v>0</v>
      </c>
      <c r="L204" s="6" t="s">
        <v>20</v>
      </c>
      <c r="M204" s="25">
        <v>35.33</v>
      </c>
    </row>
    <row r="205" spans="1:13" x14ac:dyDescent="0.3">
      <c r="A205" s="21">
        <v>204</v>
      </c>
      <c r="B205" s="6">
        <v>2022</v>
      </c>
      <c r="C205" s="6" t="s">
        <v>15</v>
      </c>
      <c r="D205" s="6">
        <v>1</v>
      </c>
      <c r="E205" s="6">
        <v>3</v>
      </c>
      <c r="F205" s="6">
        <v>0</v>
      </c>
      <c r="G205" s="6">
        <v>0</v>
      </c>
      <c r="H205" s="6">
        <v>33.33</v>
      </c>
      <c r="I205" s="6">
        <v>1</v>
      </c>
      <c r="J205" s="6">
        <v>0</v>
      </c>
      <c r="K205" s="6">
        <v>0</v>
      </c>
      <c r="L205" s="6" t="s">
        <v>20</v>
      </c>
      <c r="M205" s="25">
        <v>26.75</v>
      </c>
    </row>
    <row r="206" spans="1:13" x14ac:dyDescent="0.3">
      <c r="A206" s="21">
        <v>205</v>
      </c>
      <c r="B206" s="6">
        <v>2022</v>
      </c>
      <c r="C206" s="6" t="s">
        <v>16</v>
      </c>
      <c r="D206" s="6">
        <v>12</v>
      </c>
      <c r="E206" s="6">
        <v>14</v>
      </c>
      <c r="F206" s="6">
        <v>1</v>
      </c>
      <c r="G206" s="6">
        <v>0</v>
      </c>
      <c r="H206" s="6">
        <v>85.71</v>
      </c>
      <c r="I206" s="6">
        <v>5</v>
      </c>
      <c r="J206" s="6">
        <v>0</v>
      </c>
      <c r="K206" s="6">
        <v>0</v>
      </c>
      <c r="L206" s="6" t="s">
        <v>20</v>
      </c>
      <c r="M206" s="25">
        <v>23.8</v>
      </c>
    </row>
    <row r="207" spans="1:13" x14ac:dyDescent="0.3">
      <c r="A207" s="21">
        <v>206</v>
      </c>
      <c r="B207" s="6">
        <v>2022</v>
      </c>
      <c r="C207" s="6" t="s">
        <v>58</v>
      </c>
      <c r="D207" s="6">
        <v>0</v>
      </c>
      <c r="E207" s="6">
        <v>1</v>
      </c>
      <c r="F207" s="6">
        <v>0</v>
      </c>
      <c r="G207" s="6">
        <v>0</v>
      </c>
      <c r="H207" s="6">
        <v>0</v>
      </c>
      <c r="I207" s="6">
        <v>0</v>
      </c>
      <c r="J207" s="6">
        <v>0</v>
      </c>
      <c r="K207" s="6">
        <v>0</v>
      </c>
      <c r="L207" s="6" t="s">
        <v>20</v>
      </c>
      <c r="M207" s="25">
        <v>19.829999999999998</v>
      </c>
    </row>
    <row r="208" spans="1:13" x14ac:dyDescent="0.3">
      <c r="A208" s="21">
        <v>207</v>
      </c>
      <c r="B208" s="6">
        <v>2022</v>
      </c>
      <c r="C208" s="6" t="s">
        <v>53</v>
      </c>
      <c r="D208" s="6">
        <v>0</v>
      </c>
      <c r="E208" s="6">
        <v>1</v>
      </c>
      <c r="F208" s="6">
        <v>0</v>
      </c>
      <c r="G208" s="6">
        <v>0</v>
      </c>
      <c r="H208" s="6">
        <v>0</v>
      </c>
      <c r="I208" s="6">
        <v>0</v>
      </c>
      <c r="J208" s="6">
        <v>0</v>
      </c>
      <c r="K208" s="6">
        <v>0</v>
      </c>
      <c r="L208" s="6" t="s">
        <v>20</v>
      </c>
      <c r="M208" s="25">
        <v>17</v>
      </c>
    </row>
    <row r="209" spans="1:13" x14ac:dyDescent="0.3">
      <c r="A209" s="21">
        <v>208</v>
      </c>
      <c r="B209" s="6">
        <v>2022</v>
      </c>
      <c r="C209" s="6" t="s">
        <v>14</v>
      </c>
      <c r="D209" s="6">
        <v>9</v>
      </c>
      <c r="E209" s="6">
        <v>10</v>
      </c>
      <c r="F209" s="6">
        <v>2</v>
      </c>
      <c r="G209" s="6">
        <v>0</v>
      </c>
      <c r="H209" s="6">
        <v>90</v>
      </c>
      <c r="I209" s="6">
        <v>7</v>
      </c>
      <c r="J209" s="6">
        <v>0</v>
      </c>
      <c r="K209" s="6">
        <v>0</v>
      </c>
      <c r="L209" s="6" t="s">
        <v>20</v>
      </c>
      <c r="M209" s="25">
        <v>16</v>
      </c>
    </row>
    <row r="210" spans="1:13" x14ac:dyDescent="0.3">
      <c r="A210" s="21">
        <v>209</v>
      </c>
      <c r="B210" s="6">
        <v>2022</v>
      </c>
      <c r="C210" s="6" t="s">
        <v>59</v>
      </c>
      <c r="D210" s="6">
        <v>58</v>
      </c>
      <c r="E210" s="6">
        <v>53</v>
      </c>
      <c r="F210" s="6">
        <v>6</v>
      </c>
      <c r="G210" s="6">
        <v>1</v>
      </c>
      <c r="H210" s="6">
        <v>109.43</v>
      </c>
      <c r="I210" s="6">
        <v>7</v>
      </c>
      <c r="J210" s="6">
        <v>1</v>
      </c>
      <c r="K210" s="6">
        <v>0</v>
      </c>
      <c r="L210" s="6" t="s">
        <v>20</v>
      </c>
      <c r="M210" s="25">
        <v>20.67</v>
      </c>
    </row>
    <row r="211" spans="1:13" x14ac:dyDescent="0.3">
      <c r="A211" s="21">
        <v>210</v>
      </c>
      <c r="B211" s="6">
        <v>2022</v>
      </c>
      <c r="C211" s="6" t="s">
        <v>15</v>
      </c>
      <c r="D211" s="6">
        <v>30</v>
      </c>
      <c r="E211" s="6">
        <v>33</v>
      </c>
      <c r="F211" s="6">
        <v>3</v>
      </c>
      <c r="G211" s="6">
        <v>1</v>
      </c>
      <c r="H211" s="6">
        <v>90.91</v>
      </c>
      <c r="I211" s="6">
        <v>8</v>
      </c>
      <c r="J211" s="6">
        <v>0</v>
      </c>
      <c r="K211" s="6">
        <v>0</v>
      </c>
      <c r="L211" s="6" t="s">
        <v>20</v>
      </c>
      <c r="M211" s="25">
        <v>21.6</v>
      </c>
    </row>
    <row r="212" spans="1:13" x14ac:dyDescent="0.3">
      <c r="A212" s="21">
        <v>211</v>
      </c>
      <c r="B212" s="6">
        <v>2022</v>
      </c>
      <c r="C212" s="6" t="s">
        <v>53</v>
      </c>
      <c r="D212" s="6">
        <v>0</v>
      </c>
      <c r="E212" s="6">
        <v>1</v>
      </c>
      <c r="F212" s="6">
        <v>0</v>
      </c>
      <c r="G212" s="6">
        <v>0</v>
      </c>
      <c r="H212" s="6">
        <v>0</v>
      </c>
      <c r="I212" s="6">
        <v>0</v>
      </c>
      <c r="J212" s="6">
        <v>0</v>
      </c>
      <c r="K212" s="6">
        <v>0</v>
      </c>
      <c r="L212" s="6" t="s">
        <v>20</v>
      </c>
      <c r="M212" s="25">
        <v>19.64</v>
      </c>
    </row>
    <row r="213" spans="1:13" x14ac:dyDescent="0.3">
      <c r="A213" s="21">
        <v>212</v>
      </c>
      <c r="B213" s="6">
        <v>2022</v>
      </c>
      <c r="C213" s="6" t="s">
        <v>18</v>
      </c>
      <c r="D213" s="6">
        <v>20</v>
      </c>
      <c r="E213" s="6">
        <v>14</v>
      </c>
      <c r="F213" s="6">
        <v>2</v>
      </c>
      <c r="G213" s="6">
        <v>1</v>
      </c>
      <c r="H213" s="6">
        <v>142.86000000000001</v>
      </c>
      <c r="I213" s="6">
        <v>5</v>
      </c>
      <c r="J213" s="6">
        <v>0</v>
      </c>
      <c r="K213" s="6">
        <v>0</v>
      </c>
      <c r="L213" s="6" t="s">
        <v>20</v>
      </c>
      <c r="M213" s="25">
        <v>19.670000000000002</v>
      </c>
    </row>
    <row r="214" spans="1:13" x14ac:dyDescent="0.3">
      <c r="A214" s="21">
        <v>213</v>
      </c>
      <c r="B214" s="6">
        <v>2022</v>
      </c>
      <c r="C214" s="6" t="s">
        <v>59</v>
      </c>
      <c r="D214" s="6">
        <v>73</v>
      </c>
      <c r="E214" s="6">
        <v>54</v>
      </c>
      <c r="F214" s="6">
        <v>8</v>
      </c>
      <c r="G214" s="6">
        <v>2</v>
      </c>
      <c r="H214" s="6">
        <v>135.19</v>
      </c>
      <c r="I214" s="6">
        <v>11</v>
      </c>
      <c r="J214" s="6">
        <v>1</v>
      </c>
      <c r="K214" s="6">
        <v>0</v>
      </c>
      <c r="L214" s="6" t="s">
        <v>20</v>
      </c>
      <c r="M214" s="25">
        <v>23.77</v>
      </c>
    </row>
    <row r="215" spans="1:13" x14ac:dyDescent="0.3">
      <c r="A215" s="21">
        <v>214</v>
      </c>
      <c r="B215" s="6">
        <v>2022</v>
      </c>
      <c r="C215" s="6" t="s">
        <v>58</v>
      </c>
      <c r="D215" s="6">
        <v>25</v>
      </c>
      <c r="E215" s="6">
        <v>24</v>
      </c>
      <c r="F215" s="6">
        <v>2</v>
      </c>
      <c r="G215" s="6">
        <v>0</v>
      </c>
      <c r="H215" s="6">
        <v>104.17</v>
      </c>
      <c r="I215" s="6">
        <v>4</v>
      </c>
      <c r="J215" s="6">
        <v>0</v>
      </c>
      <c r="K215" s="6">
        <v>0</v>
      </c>
      <c r="L215" s="6" t="s">
        <v>20</v>
      </c>
      <c r="M215" s="25">
        <v>23.86</v>
      </c>
    </row>
    <row r="216" spans="1:13" x14ac:dyDescent="0.3">
      <c r="A216" s="21">
        <v>215</v>
      </c>
      <c r="B216" s="6">
        <v>2022</v>
      </c>
      <c r="C216" s="6" t="s">
        <v>14</v>
      </c>
      <c r="D216" s="6">
        <v>7</v>
      </c>
      <c r="E216" s="6">
        <v>8</v>
      </c>
      <c r="F216" s="6">
        <v>0</v>
      </c>
      <c r="G216" s="6">
        <v>1</v>
      </c>
      <c r="H216" s="6">
        <v>87.5</v>
      </c>
      <c r="I216" s="6">
        <v>5</v>
      </c>
      <c r="J216" s="6">
        <v>0</v>
      </c>
      <c r="K216" s="6">
        <v>0</v>
      </c>
      <c r="L216" s="6" t="s">
        <v>20</v>
      </c>
      <c r="M216" s="25">
        <v>22.73</v>
      </c>
    </row>
    <row r="217" spans="1:13" x14ac:dyDescent="0.3">
      <c r="A217" s="21">
        <v>216</v>
      </c>
      <c r="B217" s="6">
        <v>2023</v>
      </c>
      <c r="C217" s="6" t="s">
        <v>13</v>
      </c>
      <c r="D217" s="6">
        <v>82</v>
      </c>
      <c r="E217" s="6">
        <v>49</v>
      </c>
      <c r="F217" s="6">
        <v>6</v>
      </c>
      <c r="G217" s="6">
        <v>5</v>
      </c>
      <c r="H217" s="6">
        <v>167.35</v>
      </c>
      <c r="I217" s="6">
        <v>15</v>
      </c>
      <c r="J217" s="6">
        <v>1</v>
      </c>
      <c r="K217" s="6">
        <v>0</v>
      </c>
      <c r="L217" s="6" t="s">
        <v>19</v>
      </c>
      <c r="M217" s="23">
        <v>0</v>
      </c>
    </row>
    <row r="218" spans="1:13" x14ac:dyDescent="0.3">
      <c r="A218" s="21">
        <v>217</v>
      </c>
      <c r="B218" s="6">
        <v>2023</v>
      </c>
      <c r="C218" s="6" t="s">
        <v>12</v>
      </c>
      <c r="D218" s="6">
        <v>21</v>
      </c>
      <c r="E218" s="6">
        <v>18</v>
      </c>
      <c r="F218" s="6">
        <v>3</v>
      </c>
      <c r="G218" s="6">
        <v>0</v>
      </c>
      <c r="H218" s="6">
        <v>116.67</v>
      </c>
      <c r="I218" s="6">
        <v>9</v>
      </c>
      <c r="J218" s="6">
        <v>0</v>
      </c>
      <c r="K218" s="6">
        <v>0</v>
      </c>
      <c r="L218" s="6" t="s">
        <v>20</v>
      </c>
      <c r="M218" s="23">
        <v>82</v>
      </c>
    </row>
    <row r="219" spans="1:13" x14ac:dyDescent="0.3">
      <c r="A219" s="21">
        <v>218</v>
      </c>
      <c r="B219" s="6">
        <v>2023</v>
      </c>
      <c r="C219" s="6" t="s">
        <v>58</v>
      </c>
      <c r="D219" s="6">
        <v>61</v>
      </c>
      <c r="E219" s="6">
        <v>44</v>
      </c>
      <c r="F219" s="6">
        <v>4</v>
      </c>
      <c r="G219" s="6">
        <v>4</v>
      </c>
      <c r="H219" s="6">
        <v>138.63999999999999</v>
      </c>
      <c r="I219" s="6">
        <v>16</v>
      </c>
      <c r="J219" s="6">
        <v>1</v>
      </c>
      <c r="K219" s="6">
        <v>0</v>
      </c>
      <c r="L219" s="6" t="s">
        <v>20</v>
      </c>
      <c r="M219" s="23">
        <v>54.33</v>
      </c>
    </row>
    <row r="220" spans="1:13" x14ac:dyDescent="0.3">
      <c r="A220" s="21">
        <v>219</v>
      </c>
      <c r="B220" s="6">
        <v>2023</v>
      </c>
      <c r="C220" s="6" t="s">
        <v>16</v>
      </c>
      <c r="D220" s="6">
        <v>50</v>
      </c>
      <c r="E220" s="6">
        <v>34</v>
      </c>
      <c r="F220" s="6">
        <v>6</v>
      </c>
      <c r="G220" s="6">
        <v>1</v>
      </c>
      <c r="H220" s="6">
        <v>147.06</v>
      </c>
      <c r="I220" s="6">
        <v>9</v>
      </c>
      <c r="J220" s="6">
        <v>1</v>
      </c>
      <c r="K220" s="6">
        <v>0</v>
      </c>
      <c r="L220" s="6" t="s">
        <v>20</v>
      </c>
      <c r="M220" s="23">
        <v>54.33</v>
      </c>
    </row>
    <row r="221" spans="1:13" x14ac:dyDescent="0.3">
      <c r="A221" s="21">
        <v>220</v>
      </c>
      <c r="B221" s="6">
        <v>2023</v>
      </c>
      <c r="C221" s="6" t="s">
        <v>15</v>
      </c>
      <c r="D221" s="6">
        <v>6</v>
      </c>
      <c r="E221" s="6">
        <v>4</v>
      </c>
      <c r="F221" s="6">
        <v>1</v>
      </c>
      <c r="G221" s="6">
        <v>0</v>
      </c>
      <c r="H221" s="6">
        <v>150</v>
      </c>
      <c r="I221" s="6">
        <v>2</v>
      </c>
      <c r="J221" s="6">
        <v>0</v>
      </c>
      <c r="K221" s="6">
        <v>0</v>
      </c>
      <c r="L221" s="6" t="s">
        <v>20</v>
      </c>
      <c r="M221" s="23">
        <v>44.75</v>
      </c>
    </row>
    <row r="222" spans="1:13" x14ac:dyDescent="0.3">
      <c r="A222" s="21">
        <v>221</v>
      </c>
      <c r="B222" s="6">
        <v>2023</v>
      </c>
      <c r="C222" s="6" t="s">
        <v>18</v>
      </c>
      <c r="D222" s="6">
        <v>59</v>
      </c>
      <c r="E222" s="6">
        <v>47</v>
      </c>
      <c r="F222" s="6">
        <v>5</v>
      </c>
      <c r="G222" s="6">
        <v>1</v>
      </c>
      <c r="H222" s="6">
        <v>125.53</v>
      </c>
      <c r="I222" s="6">
        <v>13</v>
      </c>
      <c r="J222" s="6">
        <v>1</v>
      </c>
      <c r="K222" s="6">
        <v>0</v>
      </c>
      <c r="L222" s="6" t="s">
        <v>20</v>
      </c>
      <c r="M222" s="23">
        <v>44.43</v>
      </c>
    </row>
    <row r="223" spans="1:13" x14ac:dyDescent="0.3">
      <c r="A223" s="21">
        <v>222</v>
      </c>
      <c r="B223" s="6">
        <v>2023</v>
      </c>
      <c r="C223" s="6" t="s">
        <v>14</v>
      </c>
      <c r="D223" s="6">
        <v>0</v>
      </c>
      <c r="E223" s="6">
        <v>1</v>
      </c>
      <c r="F223" s="6">
        <v>0</v>
      </c>
      <c r="G223" s="6">
        <v>0</v>
      </c>
      <c r="H223" s="6">
        <v>0</v>
      </c>
      <c r="I223" s="6">
        <v>1</v>
      </c>
      <c r="J223" s="6">
        <v>0</v>
      </c>
      <c r="K223" s="6">
        <v>0</v>
      </c>
      <c r="L223" s="6" t="s">
        <v>20</v>
      </c>
      <c r="M223" s="23">
        <v>40.86</v>
      </c>
    </row>
    <row r="224" spans="1:13" x14ac:dyDescent="0.3">
      <c r="A224" s="21">
        <v>223</v>
      </c>
      <c r="B224" s="6">
        <v>2023</v>
      </c>
      <c r="C224" s="6" t="s">
        <v>12</v>
      </c>
      <c r="D224" s="6">
        <v>54</v>
      </c>
      <c r="E224" s="6">
        <v>37</v>
      </c>
      <c r="F224" s="6">
        <v>6</v>
      </c>
      <c r="G224" s="6">
        <v>0</v>
      </c>
      <c r="H224" s="6">
        <v>145.94999999999999</v>
      </c>
      <c r="I224" s="6">
        <v>5</v>
      </c>
      <c r="J224" s="6">
        <v>1</v>
      </c>
      <c r="K224" s="6">
        <v>0</v>
      </c>
      <c r="L224" s="6" t="s">
        <v>20</v>
      </c>
      <c r="M224" s="23">
        <v>41.13</v>
      </c>
    </row>
    <row r="225" spans="1:13" x14ac:dyDescent="0.3">
      <c r="A225" s="21">
        <v>224</v>
      </c>
      <c r="B225" s="6">
        <v>2023</v>
      </c>
      <c r="C225" s="6" t="s">
        <v>58</v>
      </c>
      <c r="D225" s="6">
        <v>31</v>
      </c>
      <c r="E225" s="6">
        <v>30</v>
      </c>
      <c r="F225" s="6">
        <v>3</v>
      </c>
      <c r="G225" s="6">
        <v>0</v>
      </c>
      <c r="H225" s="6">
        <v>103.33</v>
      </c>
      <c r="I225" s="6">
        <v>9</v>
      </c>
      <c r="J225" s="6">
        <v>0</v>
      </c>
      <c r="K225" s="6">
        <v>0</v>
      </c>
      <c r="L225" s="6" t="s">
        <v>20</v>
      </c>
      <c r="M225" s="23">
        <v>40</v>
      </c>
    </row>
    <row r="226" spans="1:13" x14ac:dyDescent="0.3">
      <c r="A226" s="21">
        <v>225</v>
      </c>
      <c r="B226" s="6">
        <v>2023</v>
      </c>
      <c r="C226" s="6" t="s">
        <v>16</v>
      </c>
      <c r="D226" s="6">
        <v>55</v>
      </c>
      <c r="E226" s="6">
        <v>46</v>
      </c>
      <c r="F226" s="6">
        <v>5</v>
      </c>
      <c r="G226" s="6">
        <v>0</v>
      </c>
      <c r="H226" s="6">
        <v>119.57</v>
      </c>
      <c r="I226" s="6">
        <v>12</v>
      </c>
      <c r="J226" s="6">
        <v>1</v>
      </c>
      <c r="K226" s="6">
        <v>0</v>
      </c>
      <c r="L226" s="6" t="s">
        <v>20</v>
      </c>
      <c r="M226" s="23">
        <v>40.31</v>
      </c>
    </row>
    <row r="227" spans="1:13" x14ac:dyDescent="0.3">
      <c r="A227" s="21">
        <v>226</v>
      </c>
      <c r="B227" s="6">
        <v>2023</v>
      </c>
      <c r="C227" s="6" t="s">
        <v>13</v>
      </c>
      <c r="D227" s="6">
        <v>1</v>
      </c>
      <c r="E227" s="6">
        <v>4</v>
      </c>
      <c r="F227" s="6">
        <v>0</v>
      </c>
      <c r="G227" s="6">
        <v>0</v>
      </c>
      <c r="H227" s="6">
        <v>25</v>
      </c>
      <c r="I227" s="6">
        <v>3</v>
      </c>
      <c r="J227" s="6">
        <v>0</v>
      </c>
      <c r="K227" s="6">
        <v>0</v>
      </c>
      <c r="L227" s="6" t="s">
        <v>20</v>
      </c>
      <c r="M227" s="23">
        <v>36.64</v>
      </c>
    </row>
    <row r="228" spans="1:13" x14ac:dyDescent="0.3">
      <c r="A228" s="21">
        <v>227</v>
      </c>
      <c r="B228" s="6">
        <v>2023</v>
      </c>
      <c r="C228" s="6" t="s">
        <v>14</v>
      </c>
      <c r="D228" s="6">
        <v>18</v>
      </c>
      <c r="E228" s="6">
        <v>19</v>
      </c>
      <c r="F228" s="6">
        <v>1</v>
      </c>
      <c r="G228" s="6">
        <v>0</v>
      </c>
      <c r="H228" s="6">
        <v>94.74</v>
      </c>
      <c r="I228" s="6">
        <v>4</v>
      </c>
      <c r="J228" s="6">
        <v>0</v>
      </c>
      <c r="K228" s="6">
        <v>0</v>
      </c>
      <c r="L228" s="6" t="s">
        <v>20</v>
      </c>
      <c r="M228" s="23">
        <v>35.75</v>
      </c>
    </row>
    <row r="229" spans="1:13" x14ac:dyDescent="0.3">
      <c r="A229" s="21">
        <v>228</v>
      </c>
      <c r="B229" s="6">
        <v>2023</v>
      </c>
      <c r="C229" s="6" t="s">
        <v>53</v>
      </c>
      <c r="D229" s="6">
        <v>100</v>
      </c>
      <c r="E229" s="6">
        <v>63</v>
      </c>
      <c r="F229" s="6">
        <v>12</v>
      </c>
      <c r="G229" s="6">
        <v>4</v>
      </c>
      <c r="H229" s="6">
        <v>158.72999999999999</v>
      </c>
      <c r="I229" s="6">
        <v>22</v>
      </c>
      <c r="J229" s="6">
        <v>0</v>
      </c>
      <c r="K229" s="6">
        <v>1</v>
      </c>
      <c r="L229" s="6" t="s">
        <v>20</v>
      </c>
      <c r="M229" s="23">
        <v>44.07</v>
      </c>
    </row>
    <row r="230" spans="1:13" x14ac:dyDescent="0.3">
      <c r="A230" s="21">
        <v>229</v>
      </c>
      <c r="B230" s="6">
        <v>2023</v>
      </c>
      <c r="C230" s="6" t="s">
        <v>59</v>
      </c>
      <c r="D230" s="6">
        <v>101</v>
      </c>
      <c r="E230" s="6">
        <v>61</v>
      </c>
      <c r="F230" s="6">
        <v>13</v>
      </c>
      <c r="G230" s="6">
        <v>1</v>
      </c>
      <c r="H230" s="6">
        <v>165.57</v>
      </c>
      <c r="I230" s="6">
        <v>10</v>
      </c>
      <c r="J230" s="6">
        <v>0</v>
      </c>
      <c r="K230" s="6">
        <v>1</v>
      </c>
      <c r="L230" s="6" t="s">
        <v>19</v>
      </c>
      <c r="M230" s="23">
        <v>53.25</v>
      </c>
    </row>
    <row r="231" spans="1:13" x14ac:dyDescent="0.3">
      <c r="A231" s="21">
        <v>230</v>
      </c>
      <c r="B231" s="6">
        <v>2024</v>
      </c>
      <c r="C231" s="6" t="s">
        <v>15</v>
      </c>
      <c r="D231" s="6">
        <v>21</v>
      </c>
      <c r="E231" s="6">
        <v>20</v>
      </c>
      <c r="F231" s="6">
        <v>0</v>
      </c>
      <c r="G231" s="6">
        <v>1</v>
      </c>
      <c r="H231" s="6">
        <v>105</v>
      </c>
      <c r="I231" s="6">
        <v>6</v>
      </c>
      <c r="J231" s="6">
        <v>0</v>
      </c>
      <c r="K231" s="6">
        <v>0</v>
      </c>
      <c r="L231" s="6" t="s">
        <v>20</v>
      </c>
      <c r="M231" s="23">
        <v>21</v>
      </c>
    </row>
    <row r="232" spans="1:13" x14ac:dyDescent="0.3">
      <c r="A232" s="21">
        <v>231</v>
      </c>
      <c r="B232" s="6">
        <v>2024</v>
      </c>
      <c r="C232" s="6" t="s">
        <v>18</v>
      </c>
      <c r="D232" s="6">
        <v>77</v>
      </c>
      <c r="E232" s="6">
        <v>49</v>
      </c>
      <c r="F232" s="6">
        <v>11</v>
      </c>
      <c r="G232" s="6">
        <v>2</v>
      </c>
      <c r="H232" s="6">
        <v>157.1</v>
      </c>
      <c r="I232" s="6">
        <v>19</v>
      </c>
      <c r="J232" s="6">
        <v>1</v>
      </c>
      <c r="K232" s="6">
        <v>0</v>
      </c>
      <c r="L232" s="6" t="s">
        <v>20</v>
      </c>
      <c r="M232" s="23">
        <v>49</v>
      </c>
    </row>
    <row r="233" spans="1:13" x14ac:dyDescent="0.3">
      <c r="A233" s="21">
        <v>232</v>
      </c>
      <c r="B233" s="6">
        <v>2024</v>
      </c>
      <c r="C233" s="6" t="s">
        <v>12</v>
      </c>
      <c r="D233" s="6">
        <v>83</v>
      </c>
      <c r="E233" s="6">
        <v>59</v>
      </c>
      <c r="F233" s="6">
        <v>4</v>
      </c>
      <c r="G233" s="6">
        <v>4</v>
      </c>
      <c r="H233" s="6">
        <v>140.69999999999999</v>
      </c>
      <c r="I233" s="6">
        <v>16</v>
      </c>
      <c r="J233" s="6">
        <v>1</v>
      </c>
      <c r="K233" s="6">
        <v>0</v>
      </c>
      <c r="L233" s="6" t="s">
        <v>19</v>
      </c>
      <c r="M233" s="23">
        <v>80.5</v>
      </c>
    </row>
    <row r="234" spans="1:13" x14ac:dyDescent="0.3">
      <c r="A234" s="21">
        <v>233</v>
      </c>
      <c r="B234" s="6">
        <v>2024</v>
      </c>
      <c r="C234" s="6" t="s">
        <v>58</v>
      </c>
      <c r="D234" s="6">
        <v>22</v>
      </c>
      <c r="E234" s="6">
        <v>16</v>
      </c>
      <c r="F234" s="6">
        <v>2</v>
      </c>
      <c r="G234" s="6">
        <v>1</v>
      </c>
      <c r="H234" s="6">
        <v>137.5</v>
      </c>
      <c r="I234" s="6">
        <v>6</v>
      </c>
      <c r="J234" s="6">
        <v>0</v>
      </c>
      <c r="K234" s="6">
        <v>0</v>
      </c>
      <c r="L234" s="6" t="s">
        <v>20</v>
      </c>
      <c r="M234" s="23">
        <v>62</v>
      </c>
    </row>
    <row r="235" spans="1:13" x14ac:dyDescent="0.3">
      <c r="A235" s="21">
        <v>234</v>
      </c>
      <c r="B235" s="6">
        <v>2024</v>
      </c>
      <c r="C235" s="6" t="s">
        <v>14</v>
      </c>
      <c r="D235" s="6">
        <v>113</v>
      </c>
      <c r="E235" s="6">
        <v>72</v>
      </c>
      <c r="F235" s="6">
        <v>12</v>
      </c>
      <c r="G235" s="6">
        <v>4</v>
      </c>
      <c r="H235" s="6">
        <v>156.9</v>
      </c>
      <c r="I235" s="6">
        <v>20</v>
      </c>
      <c r="J235" s="6">
        <v>0</v>
      </c>
      <c r="K235" s="6">
        <v>1</v>
      </c>
      <c r="L235" s="6" t="s">
        <v>19</v>
      </c>
      <c r="M235" s="23">
        <v>79.5</v>
      </c>
    </row>
    <row r="236" spans="1:13" x14ac:dyDescent="0.3">
      <c r="A236" s="21">
        <v>235</v>
      </c>
      <c r="B236" s="6">
        <v>2024</v>
      </c>
      <c r="C236" s="6" t="s">
        <v>13</v>
      </c>
      <c r="D236" s="6">
        <v>3</v>
      </c>
      <c r="E236" s="6">
        <v>9</v>
      </c>
      <c r="F236" s="6">
        <v>0</v>
      </c>
      <c r="G236" s="6">
        <v>0</v>
      </c>
      <c r="H236" s="6">
        <v>33.299999999999997</v>
      </c>
      <c r="I236" s="6">
        <v>6</v>
      </c>
      <c r="J236" s="6">
        <v>0</v>
      </c>
      <c r="K236" s="6">
        <v>0</v>
      </c>
      <c r="L236" s="6" t="s">
        <v>20</v>
      </c>
      <c r="M236" s="23">
        <v>64</v>
      </c>
    </row>
    <row r="237" spans="1:13" x14ac:dyDescent="0.3">
      <c r="A237" s="21">
        <v>236</v>
      </c>
      <c r="B237" s="6">
        <v>2024</v>
      </c>
      <c r="C237" s="6" t="s">
        <v>53</v>
      </c>
      <c r="D237" s="6">
        <v>42</v>
      </c>
      <c r="E237" s="6">
        <v>20</v>
      </c>
      <c r="F237" s="6">
        <v>6</v>
      </c>
      <c r="G237" s="6">
        <v>2</v>
      </c>
      <c r="H237" s="6">
        <v>210</v>
      </c>
      <c r="I237" s="6">
        <v>7</v>
      </c>
      <c r="J237" s="6">
        <v>0</v>
      </c>
      <c r="K237" s="6">
        <v>0</v>
      </c>
      <c r="L237" s="6" t="s">
        <v>20</v>
      </c>
      <c r="M237" s="23">
        <v>61.86</v>
      </c>
    </row>
    <row r="238" spans="1:13" x14ac:dyDescent="0.3">
      <c r="A238" s="21">
        <v>237</v>
      </c>
      <c r="B238" s="6">
        <v>2024</v>
      </c>
      <c r="C238" s="6" t="s">
        <v>12</v>
      </c>
      <c r="D238" s="6">
        <v>18</v>
      </c>
      <c r="E238" s="6">
        <v>7</v>
      </c>
      <c r="F238" s="6">
        <v>1</v>
      </c>
      <c r="G238" s="6">
        <v>2</v>
      </c>
      <c r="H238" s="6">
        <v>257.10000000000002</v>
      </c>
      <c r="I238" s="6">
        <v>2</v>
      </c>
      <c r="J238" s="6">
        <v>0</v>
      </c>
      <c r="K238" s="6">
        <v>0</v>
      </c>
      <c r="L238" s="6" t="s">
        <v>20</v>
      </c>
      <c r="M238" s="23">
        <v>60.88</v>
      </c>
    </row>
    <row r="239" spans="1:13" x14ac:dyDescent="0.3">
      <c r="A239" s="21">
        <v>238</v>
      </c>
      <c r="B239" s="6">
        <v>2024</v>
      </c>
      <c r="C239" s="6" t="s">
        <v>53</v>
      </c>
      <c r="D239" s="6">
        <v>51</v>
      </c>
      <c r="E239" s="6">
        <v>43</v>
      </c>
      <c r="F239" s="6">
        <v>4</v>
      </c>
      <c r="G239" s="6">
        <v>1</v>
      </c>
      <c r="H239" s="6">
        <v>118.6</v>
      </c>
      <c r="I239" s="6">
        <v>11</v>
      </c>
      <c r="J239" s="6">
        <v>1</v>
      </c>
      <c r="K239" s="6">
        <v>0</v>
      </c>
      <c r="L239" s="6" t="s">
        <v>20</v>
      </c>
      <c r="M239" s="23">
        <v>60.1</v>
      </c>
    </row>
    <row r="240" spans="1:13" x14ac:dyDescent="0.3">
      <c r="A240" s="21">
        <v>239</v>
      </c>
      <c r="B240" s="6">
        <v>2024</v>
      </c>
      <c r="C240" s="6" t="s">
        <v>59</v>
      </c>
      <c r="D240" s="6">
        <v>70</v>
      </c>
      <c r="E240" s="6">
        <v>44</v>
      </c>
      <c r="F240" s="6">
        <v>6</v>
      </c>
      <c r="G240" s="6">
        <v>3</v>
      </c>
      <c r="H240" s="6">
        <v>159.1</v>
      </c>
      <c r="I240" s="6">
        <v>10</v>
      </c>
      <c r="J240" s="6">
        <v>1</v>
      </c>
      <c r="K240" s="6">
        <v>0</v>
      </c>
      <c r="L240" s="6" t="s">
        <v>19</v>
      </c>
      <c r="M240" s="23">
        <v>63.27</v>
      </c>
    </row>
    <row r="241" spans="1:13" x14ac:dyDescent="0.3">
      <c r="A241" s="21">
        <v>240</v>
      </c>
      <c r="B241" s="6">
        <v>2024</v>
      </c>
      <c r="C241" s="6" t="s">
        <v>59</v>
      </c>
      <c r="D241" s="6">
        <v>42</v>
      </c>
      <c r="E241" s="6">
        <v>27</v>
      </c>
      <c r="F241" s="6">
        <v>2</v>
      </c>
      <c r="G241" s="6">
        <v>4</v>
      </c>
      <c r="H241" s="6">
        <v>155.6</v>
      </c>
      <c r="I241" s="6">
        <v>11</v>
      </c>
      <c r="J241" s="6">
        <v>0</v>
      </c>
      <c r="K241" s="6">
        <v>0</v>
      </c>
      <c r="L241" s="6" t="s">
        <v>20</v>
      </c>
      <c r="M241" s="23">
        <v>61.92</v>
      </c>
    </row>
    <row r="242" spans="1:13" x14ac:dyDescent="0.3">
      <c r="A242" s="21">
        <v>241</v>
      </c>
      <c r="B242" s="6">
        <v>2024</v>
      </c>
      <c r="C242" s="6" t="s">
        <v>18</v>
      </c>
      <c r="D242" s="6">
        <v>92</v>
      </c>
      <c r="E242" s="6">
        <v>47</v>
      </c>
      <c r="F242" s="6">
        <v>7</v>
      </c>
      <c r="G242" s="6">
        <v>6</v>
      </c>
      <c r="H242" s="6">
        <v>195.7</v>
      </c>
      <c r="I242" s="6">
        <v>11</v>
      </c>
      <c r="J242" s="6">
        <v>1</v>
      </c>
      <c r="K242" s="6">
        <v>0</v>
      </c>
      <c r="L242" s="6" t="s">
        <v>20</v>
      </c>
      <c r="M242" s="23">
        <v>64.36</v>
      </c>
    </row>
    <row r="243" spans="1:13" x14ac:dyDescent="0.3">
      <c r="A243" s="21">
        <v>242</v>
      </c>
      <c r="B243" s="6">
        <v>2024</v>
      </c>
      <c r="C243" s="6" t="s">
        <v>16</v>
      </c>
      <c r="D243" s="6">
        <v>27</v>
      </c>
      <c r="E243" s="6">
        <v>13</v>
      </c>
      <c r="F243" s="6">
        <v>1</v>
      </c>
      <c r="G243" s="6">
        <v>3</v>
      </c>
      <c r="H243" s="6">
        <v>207.7</v>
      </c>
      <c r="I243" s="6">
        <v>5</v>
      </c>
      <c r="J243" s="6">
        <v>0</v>
      </c>
      <c r="K243" s="6">
        <v>0</v>
      </c>
      <c r="L243" s="6" t="s">
        <v>20</v>
      </c>
      <c r="M243" s="23">
        <v>63.73</v>
      </c>
    </row>
    <row r="244" spans="1:13" x14ac:dyDescent="0.3">
      <c r="A244" s="21">
        <v>243</v>
      </c>
      <c r="B244" s="6">
        <v>2024</v>
      </c>
      <c r="C244" s="6" t="s">
        <v>15</v>
      </c>
      <c r="D244" s="6">
        <v>47</v>
      </c>
      <c r="E244" s="6">
        <v>29</v>
      </c>
      <c r="F244" s="6">
        <v>3</v>
      </c>
      <c r="G244" s="6">
        <v>4</v>
      </c>
      <c r="H244" s="6">
        <v>162.1</v>
      </c>
      <c r="I244" s="6">
        <v>11</v>
      </c>
      <c r="J244" s="6">
        <v>0</v>
      </c>
      <c r="K244" s="6">
        <v>0</v>
      </c>
      <c r="L244" s="6" t="s">
        <v>20</v>
      </c>
      <c r="M244" s="23">
        <v>62.92</v>
      </c>
    </row>
    <row r="245" spans="1:13" x14ac:dyDescent="0.3">
      <c r="A245" s="21">
        <v>244</v>
      </c>
      <c r="B245" s="6">
        <v>2024</v>
      </c>
      <c r="C245" s="6" t="s">
        <v>14</v>
      </c>
      <c r="D245" s="6">
        <v>33</v>
      </c>
      <c r="E245" s="6">
        <v>24</v>
      </c>
      <c r="F245" s="6">
        <v>3</v>
      </c>
      <c r="G245" s="6">
        <v>1</v>
      </c>
      <c r="H245" s="6">
        <v>137.5</v>
      </c>
      <c r="I245" s="6">
        <v>7</v>
      </c>
      <c r="J245" s="6">
        <v>0</v>
      </c>
      <c r="K245" s="6">
        <v>0</v>
      </c>
      <c r="L245" s="6" t="s">
        <v>20</v>
      </c>
      <c r="M245" s="23">
        <v>61.75</v>
      </c>
    </row>
    <row r="246" spans="1:13" x14ac:dyDescent="0.3">
      <c r="A246" s="21">
        <v>245</v>
      </c>
      <c r="B246" s="6">
        <v>2025</v>
      </c>
      <c r="C246" s="6" t="s">
        <v>12</v>
      </c>
      <c r="D246" s="6">
        <v>59</v>
      </c>
      <c r="E246" s="6">
        <v>36</v>
      </c>
      <c r="F246" s="6">
        <v>5</v>
      </c>
      <c r="G246" s="6">
        <v>1</v>
      </c>
      <c r="H246" s="6">
        <v>163.89</v>
      </c>
      <c r="I246" s="6">
        <v>8</v>
      </c>
      <c r="J246" s="6">
        <v>1</v>
      </c>
      <c r="K246" s="6">
        <v>0</v>
      </c>
      <c r="L246" s="6" t="s">
        <v>19</v>
      </c>
      <c r="M246" s="23">
        <v>59</v>
      </c>
    </row>
    <row r="247" spans="1:13" x14ac:dyDescent="0.3">
      <c r="A247" s="21">
        <v>246</v>
      </c>
      <c r="B247" s="6">
        <v>2025</v>
      </c>
      <c r="C247" s="6" t="s">
        <v>15</v>
      </c>
      <c r="D247" s="6">
        <v>31</v>
      </c>
      <c r="E247" s="6">
        <v>30</v>
      </c>
      <c r="F247" s="6">
        <v>2</v>
      </c>
      <c r="G247" s="6">
        <v>1</v>
      </c>
      <c r="H247" s="6">
        <v>103.33</v>
      </c>
      <c r="I247" s="6">
        <v>11</v>
      </c>
      <c r="J247" s="6">
        <v>0</v>
      </c>
      <c r="K247" s="6">
        <v>0</v>
      </c>
      <c r="L247" s="6" t="s">
        <v>20</v>
      </c>
      <c r="M247" s="23">
        <v>90</v>
      </c>
    </row>
    <row r="248" spans="1:13" x14ac:dyDescent="0.3">
      <c r="A248" s="21">
        <v>247</v>
      </c>
      <c r="B248" s="6">
        <v>2025</v>
      </c>
      <c r="C248" s="6" t="s">
        <v>59</v>
      </c>
      <c r="D248" s="6">
        <v>7</v>
      </c>
      <c r="E248" s="6">
        <v>6</v>
      </c>
      <c r="F248" s="6">
        <v>1</v>
      </c>
      <c r="G248" s="6">
        <v>0</v>
      </c>
      <c r="H248" s="6">
        <v>116.67</v>
      </c>
      <c r="I248" s="6">
        <v>2</v>
      </c>
      <c r="J248" s="6">
        <v>0</v>
      </c>
      <c r="K248" s="6">
        <v>0</v>
      </c>
      <c r="L248" s="6" t="s">
        <v>20</v>
      </c>
      <c r="M248" s="23">
        <v>48.5</v>
      </c>
    </row>
    <row r="249" spans="1:13" x14ac:dyDescent="0.3">
      <c r="A249" s="21">
        <v>248</v>
      </c>
      <c r="B249" s="6">
        <v>2025</v>
      </c>
      <c r="C249" s="6" t="s">
        <v>13</v>
      </c>
      <c r="D249" s="6">
        <v>67</v>
      </c>
      <c r="E249" s="6">
        <v>42</v>
      </c>
      <c r="F249" s="6">
        <v>8</v>
      </c>
      <c r="G249" s="6">
        <v>2</v>
      </c>
      <c r="H249" s="6">
        <v>159.52000000000001</v>
      </c>
      <c r="I249" s="6">
        <v>11</v>
      </c>
      <c r="J249" s="6">
        <v>1</v>
      </c>
      <c r="K249" s="6">
        <v>0</v>
      </c>
      <c r="L249" s="6" t="s">
        <v>20</v>
      </c>
      <c r="M249" s="23">
        <v>54.67</v>
      </c>
    </row>
    <row r="250" spans="1:13" x14ac:dyDescent="0.3">
      <c r="A250" s="21">
        <v>249</v>
      </c>
      <c r="B250" s="6">
        <v>2025</v>
      </c>
      <c r="C250" s="6" t="s">
        <v>16</v>
      </c>
      <c r="D250" s="6">
        <v>22</v>
      </c>
      <c r="E250" s="6">
        <v>14</v>
      </c>
      <c r="F250" s="6">
        <v>1</v>
      </c>
      <c r="G250" s="6">
        <v>2</v>
      </c>
      <c r="H250" s="6">
        <v>157.13999999999999</v>
      </c>
      <c r="I250" s="6">
        <v>2</v>
      </c>
      <c r="J250" s="6">
        <v>0</v>
      </c>
      <c r="K250" s="6">
        <v>0</v>
      </c>
      <c r="L250" s="6" t="s">
        <v>20</v>
      </c>
      <c r="M250" s="23">
        <v>46.5</v>
      </c>
    </row>
    <row r="251" spans="1:13" x14ac:dyDescent="0.3">
      <c r="A251" s="21">
        <v>250</v>
      </c>
      <c r="B251" s="6">
        <v>2025</v>
      </c>
      <c r="C251" s="6" t="s">
        <v>14</v>
      </c>
      <c r="D251" s="6">
        <v>62</v>
      </c>
      <c r="E251" s="6">
        <v>45</v>
      </c>
      <c r="F251" s="6">
        <v>4</v>
      </c>
      <c r="G251" s="6">
        <v>2</v>
      </c>
      <c r="H251" s="6">
        <v>137.78</v>
      </c>
      <c r="I251" s="6">
        <v>13</v>
      </c>
      <c r="J251" s="6">
        <v>1</v>
      </c>
      <c r="K251" s="6">
        <v>0</v>
      </c>
      <c r="L251" s="6" t="s">
        <v>19</v>
      </c>
      <c r="M251" s="23">
        <v>62</v>
      </c>
    </row>
    <row r="252" spans="1:13" x14ac:dyDescent="0.3">
      <c r="A252" s="21">
        <v>251</v>
      </c>
      <c r="B252" s="6">
        <v>2025</v>
      </c>
      <c r="C252" s="6" t="s">
        <v>18</v>
      </c>
      <c r="D252" s="6">
        <v>1</v>
      </c>
      <c r="E252" s="6">
        <v>3</v>
      </c>
      <c r="F252" s="6">
        <v>0</v>
      </c>
      <c r="G252" s="6">
        <v>0</v>
      </c>
      <c r="H252" s="6">
        <v>33.33</v>
      </c>
      <c r="I252" s="6">
        <v>1</v>
      </c>
      <c r="J252" s="6">
        <v>0</v>
      </c>
      <c r="K252" s="6">
        <v>0</v>
      </c>
      <c r="L252" s="6" t="s">
        <v>20</v>
      </c>
      <c r="M252" s="23">
        <v>49.8</v>
      </c>
    </row>
    <row r="253" spans="1:13" x14ac:dyDescent="0.3">
      <c r="A253" s="21">
        <v>252</v>
      </c>
      <c r="B253" s="6">
        <v>2025</v>
      </c>
      <c r="C253" s="6" t="s">
        <v>18</v>
      </c>
      <c r="D253" s="6">
        <v>73</v>
      </c>
      <c r="E253" s="6">
        <v>54</v>
      </c>
      <c r="F253" s="6">
        <v>7</v>
      </c>
      <c r="G253" s="6">
        <v>1</v>
      </c>
      <c r="H253" s="6">
        <v>135.19</v>
      </c>
      <c r="I253" s="6">
        <v>12</v>
      </c>
      <c r="J253" s="6">
        <v>1</v>
      </c>
      <c r="K253" s="6">
        <v>0</v>
      </c>
      <c r="L253" s="6" t="s">
        <v>19</v>
      </c>
      <c r="M253" s="23">
        <v>64.400000000000006</v>
      </c>
    </row>
    <row r="254" spans="1:13" x14ac:dyDescent="0.3">
      <c r="A254" s="21">
        <v>253</v>
      </c>
      <c r="B254" s="6">
        <v>2025</v>
      </c>
      <c r="C254" s="6" t="s">
        <v>14</v>
      </c>
      <c r="D254" s="6">
        <v>70</v>
      </c>
      <c r="E254" s="6">
        <v>42</v>
      </c>
      <c r="F254" s="6">
        <v>8</v>
      </c>
      <c r="G254" s="6">
        <v>2</v>
      </c>
      <c r="H254" s="6">
        <v>166.67</v>
      </c>
      <c r="I254" s="6">
        <v>10</v>
      </c>
      <c r="J254" s="6">
        <v>1</v>
      </c>
      <c r="K254" s="6">
        <v>0</v>
      </c>
      <c r="L254" s="6" t="s">
        <v>20</v>
      </c>
      <c r="M254" s="23">
        <v>65.33</v>
      </c>
    </row>
    <row r="255" spans="1:13" x14ac:dyDescent="0.3">
      <c r="A255" s="21">
        <v>254</v>
      </c>
      <c r="B255" s="6">
        <v>2025</v>
      </c>
      <c r="C255" s="6" t="s">
        <v>16</v>
      </c>
      <c r="D255" s="6">
        <v>51</v>
      </c>
      <c r="E255" s="6">
        <v>47</v>
      </c>
      <c r="F255" s="6">
        <v>4</v>
      </c>
      <c r="G255" s="6">
        <v>0</v>
      </c>
      <c r="H255" s="6">
        <v>108.51</v>
      </c>
      <c r="I255" s="6">
        <v>14</v>
      </c>
      <c r="J255" s="6">
        <v>1</v>
      </c>
      <c r="K255" s="6">
        <v>0</v>
      </c>
      <c r="L255" s="6" t="s">
        <v>20</v>
      </c>
      <c r="M255" s="23">
        <v>63.29</v>
      </c>
    </row>
    <row r="256" spans="1:13" x14ac:dyDescent="0.3">
      <c r="A256" s="21">
        <v>255</v>
      </c>
      <c r="B256" s="6">
        <v>2025</v>
      </c>
      <c r="C256" s="6" t="s">
        <v>15</v>
      </c>
      <c r="D256" s="6">
        <v>62</v>
      </c>
      <c r="E256" s="6">
        <v>33</v>
      </c>
      <c r="F256" s="6">
        <v>5</v>
      </c>
      <c r="G256" s="6">
        <v>5</v>
      </c>
      <c r="H256" s="6">
        <v>187.88</v>
      </c>
      <c r="I256" s="6">
        <v>3</v>
      </c>
      <c r="J256" s="6">
        <v>1</v>
      </c>
      <c r="K256" s="6">
        <v>0</v>
      </c>
      <c r="L256" s="6" t="s">
        <v>20</v>
      </c>
      <c r="M256" s="23">
        <v>63.12</v>
      </c>
    </row>
    <row r="257" spans="1:13" x14ac:dyDescent="0.3">
      <c r="A257" s="21">
        <v>256</v>
      </c>
      <c r="B257" s="6">
        <v>2025</v>
      </c>
      <c r="C257" s="6" t="s">
        <v>53</v>
      </c>
      <c r="D257" s="6">
        <v>43</v>
      </c>
      <c r="E257" s="6">
        <v>25</v>
      </c>
      <c r="F257" s="6">
        <v>7</v>
      </c>
      <c r="G257" s="6">
        <v>1</v>
      </c>
      <c r="H257" s="6">
        <v>172</v>
      </c>
      <c r="I257" s="6">
        <v>6</v>
      </c>
      <c r="J257" s="6">
        <v>0</v>
      </c>
      <c r="K257" s="6">
        <v>0</v>
      </c>
      <c r="L257" s="6" t="s">
        <v>20</v>
      </c>
      <c r="M257" s="23">
        <v>60.89</v>
      </c>
    </row>
    <row r="258" spans="1:13" x14ac:dyDescent="0.3">
      <c r="A258" s="21">
        <v>257</v>
      </c>
      <c r="B258" s="6">
        <v>2025</v>
      </c>
      <c r="C258" s="6" t="s">
        <v>58</v>
      </c>
      <c r="D258" s="6">
        <v>54</v>
      </c>
      <c r="E258" s="6">
        <v>30</v>
      </c>
      <c r="F258" s="6">
        <v>10</v>
      </c>
      <c r="G258" s="6">
        <v>0</v>
      </c>
      <c r="H258" s="6">
        <v>180</v>
      </c>
      <c r="I258" s="6">
        <v>15</v>
      </c>
      <c r="J258" s="6">
        <v>1</v>
      </c>
      <c r="K258" s="6">
        <v>0</v>
      </c>
      <c r="L258" s="6" t="s">
        <v>20</v>
      </c>
      <c r="M258" s="23">
        <v>60.2</v>
      </c>
    </row>
    <row r="259" spans="1:13" x14ac:dyDescent="0.3">
      <c r="A259" s="21">
        <v>258</v>
      </c>
      <c r="B259" s="6">
        <v>2025</v>
      </c>
      <c r="C259" s="6" t="s">
        <v>18</v>
      </c>
      <c r="D259" s="6">
        <v>12</v>
      </c>
      <c r="E259" s="6">
        <v>12</v>
      </c>
      <c r="F259" s="6">
        <v>2</v>
      </c>
      <c r="G259" s="6">
        <v>0</v>
      </c>
      <c r="H259" s="6">
        <v>100</v>
      </c>
      <c r="I259" s="6">
        <v>6</v>
      </c>
      <c r="J259" s="6">
        <v>0</v>
      </c>
      <c r="K259" s="6">
        <v>0</v>
      </c>
      <c r="L259" s="6" t="s">
        <v>20</v>
      </c>
      <c r="M259" s="23">
        <v>55.82</v>
      </c>
    </row>
    <row r="260" spans="1:13" x14ac:dyDescent="0.3">
      <c r="A260" s="29">
        <v>259</v>
      </c>
      <c r="B260" s="30">
        <v>2025</v>
      </c>
      <c r="C260" s="30" t="s">
        <v>18</v>
      </c>
      <c r="D260" s="30">
        <v>43</v>
      </c>
      <c r="E260" s="30">
        <v>35</v>
      </c>
      <c r="F260" s="30">
        <v>3</v>
      </c>
      <c r="G260" s="30">
        <v>0</v>
      </c>
      <c r="H260" s="30">
        <v>122.86</v>
      </c>
      <c r="I260" s="30">
        <v>9</v>
      </c>
      <c r="J260" s="30">
        <v>0</v>
      </c>
      <c r="K260" s="30">
        <v>0</v>
      </c>
      <c r="L260" s="30" t="s">
        <v>20</v>
      </c>
      <c r="M260" s="31">
        <v>54.75</v>
      </c>
    </row>
    <row r="263" spans="1:13" x14ac:dyDescent="0.3">
      <c r="C263" s="17"/>
      <c r="D263" s="19"/>
      <c r="L263" s="17"/>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743A-9ED8-4F2B-8D0F-F3391A9B9BAC}">
  <dimension ref="A2:R76"/>
  <sheetViews>
    <sheetView topLeftCell="A107" zoomScale="84" workbookViewId="0">
      <selection activeCell="K27" sqref="K27"/>
    </sheetView>
  </sheetViews>
  <sheetFormatPr defaultRowHeight="14.4" x14ac:dyDescent="0.3"/>
  <cols>
    <col min="1" max="1" width="15.33203125" bestFit="1" customWidth="1"/>
    <col min="2" max="2" width="9.21875" bestFit="1" customWidth="1"/>
    <col min="3" max="3" width="13.33203125" bestFit="1" customWidth="1"/>
    <col min="4" max="4" width="15.33203125" bestFit="1" customWidth="1"/>
    <col min="5" max="5" width="20" bestFit="1" customWidth="1"/>
    <col min="6" max="6" width="13.88671875" customWidth="1"/>
    <col min="7" max="7" width="15.33203125" bestFit="1" customWidth="1"/>
    <col min="8" max="8" width="11.5546875" bestFit="1" customWidth="1"/>
    <col min="9" max="9" width="14.77734375" bestFit="1" customWidth="1"/>
    <col min="10" max="10" width="15.33203125" bestFit="1" customWidth="1"/>
    <col min="11" max="11" width="11.5546875" bestFit="1" customWidth="1"/>
    <col min="12" max="12" width="19.6640625" bestFit="1" customWidth="1"/>
    <col min="13" max="13" width="15.33203125" bestFit="1" customWidth="1"/>
    <col min="14" max="14" width="10.21875" bestFit="1" customWidth="1"/>
    <col min="15" max="15" width="13.109375" bestFit="1" customWidth="1"/>
    <col min="16" max="16" width="15.33203125" bestFit="1" customWidth="1"/>
    <col min="17" max="17" width="11.21875" bestFit="1" customWidth="1"/>
    <col min="18" max="18" width="13.6640625" customWidth="1"/>
  </cols>
  <sheetData>
    <row r="2" spans="1:17" x14ac:dyDescent="0.3">
      <c r="A2" t="s">
        <v>72</v>
      </c>
      <c r="D2" t="s">
        <v>75</v>
      </c>
      <c r="G2" t="s">
        <v>74</v>
      </c>
      <c r="J2" t="s">
        <v>76</v>
      </c>
      <c r="M2" t="s">
        <v>77</v>
      </c>
      <c r="P2" t="s">
        <v>78</v>
      </c>
    </row>
    <row r="3" spans="1:17" x14ac:dyDescent="0.3">
      <c r="A3" s="14" t="s">
        <v>23</v>
      </c>
      <c r="B3" s="1" t="s">
        <v>73</v>
      </c>
      <c r="D3" s="14" t="s">
        <v>23</v>
      </c>
      <c r="E3" s="1" t="s">
        <v>71</v>
      </c>
      <c r="G3" s="14" t="s">
        <v>23</v>
      </c>
      <c r="H3" s="1" t="s">
        <v>22</v>
      </c>
      <c r="J3" s="14" t="s">
        <v>23</v>
      </c>
      <c r="K3" s="1" t="s">
        <v>22</v>
      </c>
      <c r="M3" s="14" t="s">
        <v>23</v>
      </c>
      <c r="N3" s="1" t="s">
        <v>31</v>
      </c>
      <c r="P3" s="14" t="s">
        <v>23</v>
      </c>
      <c r="Q3" s="1" t="s">
        <v>32</v>
      </c>
    </row>
    <row r="4" spans="1:17" x14ac:dyDescent="0.3">
      <c r="A4" s="1">
        <v>2016</v>
      </c>
      <c r="B4" s="1">
        <v>16</v>
      </c>
      <c r="D4" s="1" t="s">
        <v>16</v>
      </c>
      <c r="E4" s="1">
        <v>2</v>
      </c>
      <c r="G4" s="1" t="s">
        <v>16</v>
      </c>
      <c r="H4" s="1">
        <v>133</v>
      </c>
      <c r="J4" s="1">
        <v>2016</v>
      </c>
      <c r="K4" s="1">
        <v>973</v>
      </c>
      <c r="M4" s="1">
        <v>2016</v>
      </c>
      <c r="N4" s="1">
        <v>7</v>
      </c>
      <c r="P4" s="1">
        <v>2016</v>
      </c>
      <c r="Q4" s="1">
        <v>4</v>
      </c>
    </row>
    <row r="5" spans="1:17" x14ac:dyDescent="0.3">
      <c r="A5" s="1" t="s">
        <v>24</v>
      </c>
      <c r="B5" s="1">
        <v>16</v>
      </c>
      <c r="D5" s="1" t="s">
        <v>67</v>
      </c>
      <c r="E5" s="1">
        <v>3</v>
      </c>
      <c r="G5" s="1" t="s">
        <v>67</v>
      </c>
      <c r="H5" s="1">
        <v>209</v>
      </c>
      <c r="J5" s="1" t="s">
        <v>24</v>
      </c>
      <c r="K5" s="1">
        <v>973</v>
      </c>
      <c r="M5" s="1" t="s">
        <v>24</v>
      </c>
      <c r="N5" s="1">
        <v>7</v>
      </c>
      <c r="P5" s="1" t="s">
        <v>24</v>
      </c>
      <c r="Q5" s="1">
        <v>4</v>
      </c>
    </row>
    <row r="6" spans="1:17" x14ac:dyDescent="0.3">
      <c r="D6" s="1" t="s">
        <v>12</v>
      </c>
      <c r="E6" s="1">
        <v>2</v>
      </c>
      <c r="G6" s="1" t="s">
        <v>12</v>
      </c>
      <c r="H6" s="1">
        <v>127</v>
      </c>
    </row>
    <row r="7" spans="1:17" x14ac:dyDescent="0.3">
      <c r="D7" s="1" t="s">
        <v>18</v>
      </c>
      <c r="E7" s="1">
        <v>2</v>
      </c>
      <c r="G7" s="1" t="s">
        <v>18</v>
      </c>
      <c r="H7" s="1">
        <v>133</v>
      </c>
    </row>
    <row r="8" spans="1:17" x14ac:dyDescent="0.3">
      <c r="D8" s="1" t="s">
        <v>13</v>
      </c>
      <c r="E8" s="1">
        <v>2</v>
      </c>
      <c r="G8" s="1" t="s">
        <v>13</v>
      </c>
      <c r="H8" s="1">
        <v>40</v>
      </c>
    </row>
    <row r="9" spans="1:17" x14ac:dyDescent="0.3">
      <c r="D9" s="1" t="s">
        <v>66</v>
      </c>
      <c r="E9" s="1">
        <v>2</v>
      </c>
      <c r="G9" s="1" t="s">
        <v>66</v>
      </c>
      <c r="H9" s="1">
        <v>188</v>
      </c>
    </row>
    <row r="10" spans="1:17" x14ac:dyDescent="0.3">
      <c r="D10" s="1" t="s">
        <v>53</v>
      </c>
      <c r="E10" s="1">
        <v>3</v>
      </c>
      <c r="G10" s="1" t="s">
        <v>53</v>
      </c>
      <c r="H10" s="1">
        <v>143</v>
      </c>
    </row>
    <row r="11" spans="1:17" x14ac:dyDescent="0.3">
      <c r="D11" s="1" t="s">
        <v>24</v>
      </c>
      <c r="E11" s="1">
        <v>16</v>
      </c>
      <c r="G11" s="1" t="s">
        <v>24</v>
      </c>
      <c r="H11" s="1">
        <v>973</v>
      </c>
    </row>
    <row r="26" spans="1:18" x14ac:dyDescent="0.3">
      <c r="A26" t="s">
        <v>79</v>
      </c>
      <c r="D26" t="s">
        <v>80</v>
      </c>
      <c r="G26" t="s">
        <v>81</v>
      </c>
      <c r="K26" t="s">
        <v>83</v>
      </c>
      <c r="N26" t="s">
        <v>84</v>
      </c>
      <c r="Q26" t="s">
        <v>87</v>
      </c>
    </row>
    <row r="27" spans="1:18" x14ac:dyDescent="0.3">
      <c r="A27" s="14" t="s">
        <v>23</v>
      </c>
      <c r="B27" s="1" t="s">
        <v>29</v>
      </c>
      <c r="D27" s="14" t="s">
        <v>23</v>
      </c>
      <c r="E27" s="1" t="s">
        <v>30</v>
      </c>
      <c r="G27" s="14" t="s">
        <v>23</v>
      </c>
      <c r="H27" s="1" t="s">
        <v>25</v>
      </c>
      <c r="I27" s="1" t="s">
        <v>26</v>
      </c>
      <c r="K27" s="14" t="s">
        <v>23</v>
      </c>
      <c r="L27" s="1" t="s">
        <v>82</v>
      </c>
      <c r="N27" s="33" t="s">
        <v>61</v>
      </c>
      <c r="O27" s="34" t="s">
        <v>85</v>
      </c>
      <c r="Q27" s="33" t="s">
        <v>61</v>
      </c>
      <c r="R27" s="34" t="s">
        <v>60</v>
      </c>
    </row>
    <row r="28" spans="1:18" x14ac:dyDescent="0.3">
      <c r="A28" s="1">
        <v>2016</v>
      </c>
      <c r="B28" s="1">
        <v>84</v>
      </c>
      <c r="D28" s="1">
        <v>2016</v>
      </c>
      <c r="E28" s="1">
        <v>38</v>
      </c>
      <c r="G28" s="1">
        <v>2016</v>
      </c>
      <c r="H28" s="1">
        <v>640</v>
      </c>
      <c r="I28" s="1">
        <v>169</v>
      </c>
      <c r="K28" s="1" t="s">
        <v>19</v>
      </c>
      <c r="L28" s="1">
        <v>4</v>
      </c>
      <c r="N28" s="21">
        <v>2008</v>
      </c>
      <c r="O28" s="32">
        <f>'2008'!D17</f>
        <v>105.09554140127389</v>
      </c>
      <c r="Q28" s="21">
        <v>2008</v>
      </c>
      <c r="R28" s="32">
        <f>'2008'!M17</f>
        <v>11.64</v>
      </c>
    </row>
    <row r="29" spans="1:18" x14ac:dyDescent="0.3">
      <c r="A29" s="1" t="s">
        <v>24</v>
      </c>
      <c r="B29" s="1">
        <v>84</v>
      </c>
      <c r="D29" s="1" t="s">
        <v>24</v>
      </c>
      <c r="E29" s="1">
        <v>38</v>
      </c>
      <c r="G29" s="1" t="s">
        <v>24</v>
      </c>
      <c r="H29" s="1">
        <v>640</v>
      </c>
      <c r="I29" s="1">
        <v>169</v>
      </c>
      <c r="K29" s="15">
        <v>2016</v>
      </c>
      <c r="L29" s="1">
        <v>4</v>
      </c>
      <c r="N29" s="21">
        <v>2009</v>
      </c>
      <c r="O29" s="32">
        <f>'2009'!D17</f>
        <v>112.32876712328768</v>
      </c>
      <c r="Q29" s="21">
        <v>2009</v>
      </c>
      <c r="R29" s="32">
        <f>'2009'!M17</f>
        <v>22.66</v>
      </c>
    </row>
    <row r="30" spans="1:18" x14ac:dyDescent="0.3">
      <c r="K30" s="1" t="s">
        <v>20</v>
      </c>
      <c r="L30" s="1">
        <v>12</v>
      </c>
      <c r="N30" s="21">
        <v>2010</v>
      </c>
      <c r="O30" s="32">
        <f>'2010'!D19</f>
        <v>144.81132075471697</v>
      </c>
      <c r="Q30" s="21">
        <v>2010</v>
      </c>
      <c r="R30" s="32">
        <f>'2010'!M19</f>
        <v>32.22</v>
      </c>
    </row>
    <row r="31" spans="1:18" x14ac:dyDescent="0.3">
      <c r="K31" s="15">
        <v>2016</v>
      </c>
      <c r="L31" s="1">
        <v>12</v>
      </c>
      <c r="N31" s="21">
        <v>2011</v>
      </c>
      <c r="O31" s="32">
        <f>'2011'!D20</f>
        <v>121.08695652173913</v>
      </c>
      <c r="Q31" s="21">
        <v>2011</v>
      </c>
      <c r="R31" s="32">
        <f>'2011'!M20</f>
        <v>55.56</v>
      </c>
    </row>
    <row r="32" spans="1:18" x14ac:dyDescent="0.3">
      <c r="K32" s="1" t="s">
        <v>24</v>
      </c>
      <c r="L32" s="1">
        <v>16</v>
      </c>
      <c r="N32" s="21">
        <v>2012</v>
      </c>
      <c r="O32" s="32">
        <f>'2012'!D19</f>
        <v>110.97560975609757</v>
      </c>
      <c r="Q32" s="21">
        <v>2012</v>
      </c>
      <c r="R32" s="32">
        <f>'2012'!M19</f>
        <v>28</v>
      </c>
    </row>
    <row r="33" spans="14:18" x14ac:dyDescent="0.3">
      <c r="N33" s="21">
        <v>2013</v>
      </c>
      <c r="O33" s="32">
        <f>'2013'!D21</f>
        <v>138.73085339168489</v>
      </c>
      <c r="Q33" s="21">
        <v>2013</v>
      </c>
      <c r="R33" s="32">
        <f>'2013'!M21</f>
        <v>45.29</v>
      </c>
    </row>
    <row r="34" spans="14:18" x14ac:dyDescent="0.3">
      <c r="N34" s="21">
        <v>2014</v>
      </c>
      <c r="O34" s="32">
        <f>'2014'!D18</f>
        <v>122.10884353741496</v>
      </c>
      <c r="Q34" s="21">
        <v>2014</v>
      </c>
      <c r="R34" s="32">
        <f>'2014'!M18</f>
        <v>27.62</v>
      </c>
    </row>
    <row r="35" spans="14:18" x14ac:dyDescent="0.3">
      <c r="N35" s="21">
        <v>2015</v>
      </c>
      <c r="O35" s="32">
        <f>'2015'!D20</f>
        <v>130.82901554404145</v>
      </c>
      <c r="Q35" s="21">
        <v>2015</v>
      </c>
      <c r="R35" s="32">
        <f>'2015'!M20</f>
        <v>38</v>
      </c>
    </row>
    <row r="36" spans="14:18" x14ac:dyDescent="0.3">
      <c r="N36" s="21">
        <v>2016</v>
      </c>
      <c r="O36" s="32">
        <f>'2016'!D21</f>
        <v>152.03125</v>
      </c>
      <c r="Q36" s="21">
        <v>2016</v>
      </c>
      <c r="R36" s="32">
        <f>'2016'!M21</f>
        <v>81.08</v>
      </c>
    </row>
    <row r="37" spans="14:18" x14ac:dyDescent="0.3">
      <c r="N37" s="21">
        <v>2017</v>
      </c>
      <c r="O37" s="32">
        <f>'2017'!D15</f>
        <v>122.22222222222223</v>
      </c>
      <c r="Q37" s="21">
        <v>2017</v>
      </c>
      <c r="R37" s="32">
        <f>'2017'!M15</f>
        <v>30.8</v>
      </c>
    </row>
    <row r="38" spans="14:18" x14ac:dyDescent="0.3">
      <c r="N38" s="21">
        <v>2018</v>
      </c>
      <c r="O38" s="32">
        <f>'2018'!D18</f>
        <v>139.10761154855641</v>
      </c>
      <c r="Q38" s="21">
        <v>2018</v>
      </c>
      <c r="R38" s="32">
        <f>'2018'!M18</f>
        <v>48.18</v>
      </c>
    </row>
    <row r="39" spans="14:18" x14ac:dyDescent="0.3">
      <c r="N39" s="21">
        <v>2019</v>
      </c>
      <c r="O39" s="32">
        <f>'2019'!D18</f>
        <v>141.46341463414635</v>
      </c>
      <c r="Q39" s="21">
        <v>2019</v>
      </c>
      <c r="R39" s="32">
        <f>'2019'!M18</f>
        <v>33.14</v>
      </c>
    </row>
    <row r="40" spans="14:18" x14ac:dyDescent="0.3">
      <c r="N40" s="21">
        <v>2020</v>
      </c>
      <c r="O40" s="32">
        <f>'2020'!D19</f>
        <v>121.35416666666667</v>
      </c>
      <c r="Q40" s="21">
        <v>2020</v>
      </c>
      <c r="R40" s="32">
        <f>'2020'!M19</f>
        <v>42.36</v>
      </c>
    </row>
    <row r="41" spans="14:18" x14ac:dyDescent="0.3">
      <c r="N41" s="21">
        <v>2021</v>
      </c>
      <c r="O41" s="32">
        <f>'2021'!D19</f>
        <v>137.28813559322032</v>
      </c>
      <c r="Q41" s="21">
        <v>2021</v>
      </c>
      <c r="R41" s="32">
        <f>'2021'!M19</f>
        <v>28.92</v>
      </c>
    </row>
    <row r="42" spans="14:18" x14ac:dyDescent="0.3">
      <c r="N42" s="21">
        <v>2022</v>
      </c>
      <c r="O42" s="32">
        <f>'2022'!D20</f>
        <v>115.98639455782313</v>
      </c>
      <c r="Q42" s="21">
        <v>2022</v>
      </c>
      <c r="R42" s="32">
        <f>'2022'!M20</f>
        <v>22.73</v>
      </c>
    </row>
    <row r="43" spans="14:18" x14ac:dyDescent="0.3">
      <c r="N43" s="21">
        <v>2023</v>
      </c>
      <c r="O43" s="32">
        <f>'2023'!D18</f>
        <v>139.8249452954048</v>
      </c>
      <c r="Q43" s="21">
        <v>2023</v>
      </c>
      <c r="R43" s="32">
        <f>'2023'!M18</f>
        <v>53.25</v>
      </c>
    </row>
    <row r="44" spans="14:18" x14ac:dyDescent="0.3">
      <c r="N44" s="21">
        <v>2024</v>
      </c>
      <c r="O44" s="32">
        <f>'2024'!D19</f>
        <v>154.69728601252609</v>
      </c>
      <c r="Q44" s="21">
        <v>2024</v>
      </c>
      <c r="R44" s="32">
        <f>'2024'!M19</f>
        <v>61.75</v>
      </c>
    </row>
    <row r="45" spans="14:18" x14ac:dyDescent="0.3">
      <c r="N45" s="21">
        <v>2025</v>
      </c>
      <c r="O45" s="32">
        <f>'2025'!D19</f>
        <v>144.7136563876652</v>
      </c>
      <c r="Q45" s="21">
        <v>2025</v>
      </c>
      <c r="R45" s="32">
        <f>'2025'!M19</f>
        <v>54.75</v>
      </c>
    </row>
    <row r="46" spans="14:18" x14ac:dyDescent="0.3">
      <c r="N46" s="35" t="s">
        <v>24</v>
      </c>
      <c r="O46" s="36">
        <f>'2008-2025'!D263</f>
        <v>0</v>
      </c>
      <c r="Q46" s="35" t="s">
        <v>24</v>
      </c>
      <c r="R46" s="36">
        <f>'2008-2025'!M263</f>
        <v>0</v>
      </c>
    </row>
    <row r="56" spans="3:8" x14ac:dyDescent="0.3">
      <c r="C56" s="3" t="s">
        <v>23</v>
      </c>
      <c r="D56" t="s">
        <v>89</v>
      </c>
      <c r="G56" s="3" t="s">
        <v>23</v>
      </c>
      <c r="H56" t="s">
        <v>90</v>
      </c>
    </row>
    <row r="57" spans="3:8" x14ac:dyDescent="0.3">
      <c r="C57" s="4">
        <v>2008</v>
      </c>
      <c r="D57" s="19">
        <v>105.09554140127389</v>
      </c>
      <c r="G57" s="4">
        <v>2008</v>
      </c>
      <c r="H57" s="19">
        <v>11.64</v>
      </c>
    </row>
    <row r="58" spans="3:8" x14ac:dyDescent="0.3">
      <c r="C58" s="4">
        <v>2009</v>
      </c>
      <c r="D58" s="19">
        <v>112.32876712328768</v>
      </c>
      <c r="G58" s="4">
        <v>2009</v>
      </c>
      <c r="H58" s="19">
        <v>22.66</v>
      </c>
    </row>
    <row r="59" spans="3:8" x14ac:dyDescent="0.3">
      <c r="C59" s="4">
        <v>2010</v>
      </c>
      <c r="D59" s="19">
        <v>144.81132075471697</v>
      </c>
      <c r="G59" s="4">
        <v>2010</v>
      </c>
      <c r="H59" s="19">
        <v>32.22</v>
      </c>
    </row>
    <row r="60" spans="3:8" x14ac:dyDescent="0.3">
      <c r="C60" s="4">
        <v>2011</v>
      </c>
      <c r="D60" s="19">
        <v>121.08695652173913</v>
      </c>
      <c r="G60" s="4">
        <v>2011</v>
      </c>
      <c r="H60" s="19">
        <v>55.56</v>
      </c>
    </row>
    <row r="61" spans="3:8" x14ac:dyDescent="0.3">
      <c r="C61" s="4">
        <v>2012</v>
      </c>
      <c r="D61" s="19">
        <v>110.97560975609757</v>
      </c>
      <c r="G61" s="4">
        <v>2012</v>
      </c>
      <c r="H61" s="19">
        <v>28</v>
      </c>
    </row>
    <row r="62" spans="3:8" x14ac:dyDescent="0.3">
      <c r="C62" s="4">
        <v>2013</v>
      </c>
      <c r="D62" s="19">
        <v>138.73085339168489</v>
      </c>
      <c r="G62" s="4">
        <v>2013</v>
      </c>
      <c r="H62" s="19">
        <v>45.29</v>
      </c>
    </row>
    <row r="63" spans="3:8" x14ac:dyDescent="0.3">
      <c r="C63" s="4">
        <v>2014</v>
      </c>
      <c r="D63" s="19">
        <v>122.10884353741496</v>
      </c>
      <c r="G63" s="4">
        <v>2014</v>
      </c>
      <c r="H63" s="19">
        <v>27.62</v>
      </c>
    </row>
    <row r="64" spans="3:8" x14ac:dyDescent="0.3">
      <c r="C64" s="4">
        <v>2015</v>
      </c>
      <c r="D64" s="19">
        <v>130.82901554404145</v>
      </c>
      <c r="G64" s="4">
        <v>2015</v>
      </c>
      <c r="H64" s="19">
        <v>38</v>
      </c>
    </row>
    <row r="65" spans="3:8" x14ac:dyDescent="0.3">
      <c r="C65" s="4">
        <v>2016</v>
      </c>
      <c r="D65" s="19">
        <v>152.03125</v>
      </c>
      <c r="G65" s="4">
        <v>2016</v>
      </c>
      <c r="H65" s="19">
        <v>81.08</v>
      </c>
    </row>
    <row r="66" spans="3:8" x14ac:dyDescent="0.3">
      <c r="C66" s="4">
        <v>2017</v>
      </c>
      <c r="D66" s="19">
        <v>122.22222222222223</v>
      </c>
      <c r="G66" s="4">
        <v>2017</v>
      </c>
      <c r="H66" s="19">
        <v>30.8</v>
      </c>
    </row>
    <row r="67" spans="3:8" x14ac:dyDescent="0.3">
      <c r="C67" s="4">
        <v>2018</v>
      </c>
      <c r="D67" s="19">
        <v>139.10761154855641</v>
      </c>
      <c r="G67" s="4">
        <v>2018</v>
      </c>
      <c r="H67" s="19">
        <v>48.18</v>
      </c>
    </row>
    <row r="68" spans="3:8" x14ac:dyDescent="0.3">
      <c r="C68" s="4">
        <v>2019</v>
      </c>
      <c r="D68" s="19">
        <v>141.46341463414635</v>
      </c>
      <c r="G68" s="4">
        <v>2019</v>
      </c>
      <c r="H68" s="19">
        <v>33.14</v>
      </c>
    </row>
    <row r="69" spans="3:8" x14ac:dyDescent="0.3">
      <c r="C69" s="4">
        <v>2020</v>
      </c>
      <c r="D69" s="19">
        <v>121.35416666666667</v>
      </c>
      <c r="G69" s="4">
        <v>2020</v>
      </c>
      <c r="H69" s="19">
        <v>42.36</v>
      </c>
    </row>
    <row r="70" spans="3:8" x14ac:dyDescent="0.3">
      <c r="C70" s="4">
        <v>2021</v>
      </c>
      <c r="D70" s="19">
        <v>137.28813559322032</v>
      </c>
      <c r="G70" s="4">
        <v>2021</v>
      </c>
      <c r="H70" s="19">
        <v>28.92</v>
      </c>
    </row>
    <row r="71" spans="3:8" x14ac:dyDescent="0.3">
      <c r="C71" s="4">
        <v>2022</v>
      </c>
      <c r="D71" s="19">
        <v>115.98639455782313</v>
      </c>
      <c r="G71" s="4">
        <v>2022</v>
      </c>
      <c r="H71" s="19">
        <v>22.73</v>
      </c>
    </row>
    <row r="72" spans="3:8" x14ac:dyDescent="0.3">
      <c r="C72" s="4">
        <v>2023</v>
      </c>
      <c r="D72" s="19">
        <v>139.8249452954048</v>
      </c>
      <c r="G72" s="4">
        <v>2023</v>
      </c>
      <c r="H72" s="19">
        <v>53.25</v>
      </c>
    </row>
    <row r="73" spans="3:8" x14ac:dyDescent="0.3">
      <c r="C73" s="4">
        <v>2024</v>
      </c>
      <c r="D73" s="19">
        <v>154.69728601252609</v>
      </c>
      <c r="G73" s="4">
        <v>2024</v>
      </c>
      <c r="H73" s="19">
        <v>61.75</v>
      </c>
    </row>
    <row r="74" spans="3:8" x14ac:dyDescent="0.3">
      <c r="C74" s="4">
        <v>2025</v>
      </c>
      <c r="D74" s="19">
        <v>144.7136563876652</v>
      </c>
      <c r="G74" s="4">
        <v>2025</v>
      </c>
      <c r="H74" s="19">
        <v>54.75</v>
      </c>
    </row>
    <row r="75" spans="3:8" x14ac:dyDescent="0.3">
      <c r="C75" s="4" t="s">
        <v>24</v>
      </c>
      <c r="D75" s="19">
        <v>133.71931449745253</v>
      </c>
      <c r="G75" s="4" t="s">
        <v>24</v>
      </c>
      <c r="H75" s="19">
        <v>39.368181818181817</v>
      </c>
    </row>
    <row r="76" spans="3:8" x14ac:dyDescent="0.3">
      <c r="C76" s="4" t="s">
        <v>24</v>
      </c>
      <c r="D76" s="19">
        <v>130.96712133926002</v>
      </c>
      <c r="G76" s="4" t="s">
        <v>24</v>
      </c>
      <c r="H76" s="19">
        <v>39.858851674641151</v>
      </c>
    </row>
  </sheetData>
  <pageMargins left="0.7" right="0.7" top="0.75" bottom="0.75" header="0.3" footer="0.3"/>
  <tableParts count="2">
    <tablePart r:id="rId13"/>
    <tablePart r:id="rId1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928E-B3B3-4DC0-AFE3-86C60DDA122A}">
  <dimension ref="A1:AJ32"/>
  <sheetViews>
    <sheetView workbookViewId="0">
      <selection activeCell="N64" sqref="N64"/>
    </sheetView>
  </sheetViews>
  <sheetFormatPr defaultRowHeight="14.4" x14ac:dyDescent="0.3"/>
  <sheetData>
    <row r="1" spans="1:36" x14ac:dyDescent="0.3">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row>
    <row r="2" spans="1:36" x14ac:dyDescent="0.3">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row>
    <row r="3" spans="1:36" x14ac:dyDescent="0.3">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row>
    <row r="4" spans="1:36" x14ac:dyDescent="0.3">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row>
    <row r="5" spans="1:36" x14ac:dyDescent="0.3">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row>
    <row r="6" spans="1:36" x14ac:dyDescent="0.3">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row>
    <row r="7" spans="1:36" x14ac:dyDescent="0.3">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row>
    <row r="8" spans="1:36" x14ac:dyDescent="0.3">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row>
    <row r="9" spans="1:36" x14ac:dyDescent="0.3">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row>
    <row r="10" spans="1:36" x14ac:dyDescent="0.3">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row>
    <row r="11" spans="1:36" x14ac:dyDescent="0.3">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row>
    <row r="12" spans="1:36" x14ac:dyDescent="0.3">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row>
    <row r="13" spans="1:36" x14ac:dyDescent="0.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row>
    <row r="14" spans="1:36" x14ac:dyDescent="0.3">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row>
    <row r="15" spans="1:36" x14ac:dyDescent="0.3">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row>
    <row r="16" spans="1:36" x14ac:dyDescent="0.3">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row>
    <row r="17" spans="1:36" x14ac:dyDescent="0.3">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row>
    <row r="18" spans="1:36" x14ac:dyDescent="0.3">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row>
    <row r="19" spans="1:36" x14ac:dyDescent="0.3">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row>
    <row r="20" spans="1:36" x14ac:dyDescent="0.3">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row>
    <row r="21" spans="1:36" x14ac:dyDescent="0.3">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row>
    <row r="22" spans="1:36" x14ac:dyDescent="0.3">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row>
    <row r="23" spans="1:36" x14ac:dyDescent="0.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row>
    <row r="24" spans="1:36" x14ac:dyDescent="0.3">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row>
    <row r="25" spans="1:36" x14ac:dyDescent="0.3">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row>
    <row r="26" spans="1:36" x14ac:dyDescent="0.3">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row>
    <row r="27" spans="1:36" x14ac:dyDescent="0.3">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row>
    <row r="28" spans="1:36" x14ac:dyDescent="0.3">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row>
    <row r="29" spans="1:36" x14ac:dyDescent="0.3">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row>
    <row r="30" spans="1:36" x14ac:dyDescent="0.3">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row>
    <row r="31" spans="1:36" x14ac:dyDescent="0.3">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row>
    <row r="32" spans="1:36" x14ac:dyDescent="0.3">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0F6A379-A39D-49C5-BE1C-B2C3E61C80EB}">
  <ds:schemaRefs/>
</ds:datastoreItem>
</file>

<file path=customXml/itemProps2.xml><?xml version="1.0" encoding="utf-8"?>
<ds:datastoreItem xmlns:ds="http://schemas.openxmlformats.org/officeDocument/2006/customXml" ds:itemID="{F761183B-17C4-42C4-850E-DF97D8C4C143}">
  <ds:schemaRefs/>
</ds:datastoreItem>
</file>

<file path=customXml/itemProps3.xml><?xml version="1.0" encoding="utf-8"?>
<ds:datastoreItem xmlns:ds="http://schemas.openxmlformats.org/officeDocument/2006/customXml" ds:itemID="{02333455-41F9-4FB1-AF24-B5D86160AEA4}">
  <ds:schemaRefs/>
</ds:datastoreItem>
</file>

<file path=customXml/itemProps4.xml><?xml version="1.0" encoding="utf-8"?>
<ds:datastoreItem xmlns:ds="http://schemas.openxmlformats.org/officeDocument/2006/customXml" ds:itemID="{E8640B78-3152-42E2-B8D1-93CECE2E26C8}">
  <ds:schemaRefs/>
</ds:datastoreItem>
</file>

<file path=customXml/itemProps5.xml><?xml version="1.0" encoding="utf-8"?>
<ds:datastoreItem xmlns:ds="http://schemas.openxmlformats.org/officeDocument/2006/customXml" ds:itemID="{6FB9CEF1-7210-47D8-B3F6-0748CA408E95}">
  <ds:schemaRefs/>
</ds:datastoreItem>
</file>

<file path=customXml/itemProps6.xml><?xml version="1.0" encoding="utf-8"?>
<ds:datastoreItem xmlns:ds="http://schemas.openxmlformats.org/officeDocument/2006/customXml" ds:itemID="{5EBF462C-1128-4D47-A8BD-B5824854C88A}">
  <ds:schemaRefs/>
</ds:datastoreItem>
</file>

<file path=customXml/itemProps7.xml><?xml version="1.0" encoding="utf-8"?>
<ds:datastoreItem xmlns:ds="http://schemas.openxmlformats.org/officeDocument/2006/customXml" ds:itemID="{90A2DBA4-C2C8-4B1C-BAAA-06540B55E39B}">
  <ds:schemaRefs/>
</ds:datastoreItem>
</file>

<file path=customXml/itemProps8.xml><?xml version="1.0" encoding="utf-8"?>
<ds:datastoreItem xmlns:ds="http://schemas.openxmlformats.org/officeDocument/2006/customXml" ds:itemID="{A6B4BD69-7E5C-4AFB-841C-5B612811A9E1}">
  <ds:schemaRefs/>
</ds:datastoreItem>
</file>

<file path=customXml/itemProps9.xml><?xml version="1.0" encoding="utf-8"?>
<ds:datastoreItem xmlns:ds="http://schemas.openxmlformats.org/officeDocument/2006/customXml" ds:itemID="{21E16021-6687-492C-AD5A-70FFF393D8F5}">
  <ds:schemaRefs/>
</ds:datastoreItem>
</file>

<file path=customXml/itemProps10.xml><?xml version="1.0" encoding="utf-8"?>
<ds:datastoreItem xmlns:ds="http://schemas.openxmlformats.org/officeDocument/2006/customXml" ds:itemID="{4036DC8D-2779-4246-8813-F7F36C640048}">
  <ds:schemaRefs/>
</ds:datastoreItem>
</file>

<file path=customXml/itemProps11.xml><?xml version="1.0" encoding="utf-8"?>
<ds:datastoreItem xmlns:ds="http://schemas.openxmlformats.org/officeDocument/2006/customXml" ds:itemID="{A897D3F0-0D6E-4DEF-93F7-FF385E341274}">
  <ds:schemaRefs/>
</ds:datastoreItem>
</file>

<file path=customXml/itemProps12.xml><?xml version="1.0" encoding="utf-8"?>
<ds:datastoreItem xmlns:ds="http://schemas.openxmlformats.org/officeDocument/2006/customXml" ds:itemID="{0C3A7AC7-6204-435A-90C0-CB9B28F91B5F}">
  <ds:schemaRefs/>
</ds:datastoreItem>
</file>

<file path=customXml/itemProps13.xml><?xml version="1.0" encoding="utf-8"?>
<ds:datastoreItem xmlns:ds="http://schemas.openxmlformats.org/officeDocument/2006/customXml" ds:itemID="{33F423BF-A5D7-4748-8D55-F243AE61612B}">
  <ds:schemaRefs/>
</ds:datastoreItem>
</file>

<file path=customXml/itemProps14.xml><?xml version="1.0" encoding="utf-8"?>
<ds:datastoreItem xmlns:ds="http://schemas.openxmlformats.org/officeDocument/2006/customXml" ds:itemID="{7525CAC3-6506-403A-9C35-2FCE763A22F7}">
  <ds:schemaRefs/>
</ds:datastoreItem>
</file>

<file path=customXml/itemProps15.xml><?xml version="1.0" encoding="utf-8"?>
<ds:datastoreItem xmlns:ds="http://schemas.openxmlformats.org/officeDocument/2006/customXml" ds:itemID="{C6BCDFF5-19DE-44A6-B116-DC5B87B37125}">
  <ds:schemaRefs/>
</ds:datastoreItem>
</file>

<file path=customXml/itemProps16.xml><?xml version="1.0" encoding="utf-8"?>
<ds:datastoreItem xmlns:ds="http://schemas.openxmlformats.org/officeDocument/2006/customXml" ds:itemID="{74EA4D43-26CF-4F86-BB31-DC501207B8F8}">
  <ds:schemaRefs/>
</ds:datastoreItem>
</file>

<file path=customXml/itemProps17.xml><?xml version="1.0" encoding="utf-8"?>
<ds:datastoreItem xmlns:ds="http://schemas.openxmlformats.org/officeDocument/2006/customXml" ds:itemID="{41517073-1F53-4893-BEC5-EB4443FBAA32}">
  <ds:schemaRefs/>
</ds:datastoreItem>
</file>

<file path=customXml/itemProps18.xml><?xml version="1.0" encoding="utf-8"?>
<ds:datastoreItem xmlns:ds="http://schemas.openxmlformats.org/officeDocument/2006/customXml" ds:itemID="{DD3921D4-B6B3-43CE-B4CA-7819801B7516}">
  <ds:schemaRefs/>
</ds:datastoreItem>
</file>

<file path=customXml/itemProps19.xml><?xml version="1.0" encoding="utf-8"?>
<ds:datastoreItem xmlns:ds="http://schemas.openxmlformats.org/officeDocument/2006/customXml" ds:itemID="{2E80FFF6-9205-4185-AE92-0CFB72B936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runs</vt:lpstr>
      <vt:lpstr>runs&amp;ball</vt:lpstr>
      <vt:lpstr>dotball</vt:lpstr>
      <vt:lpstr>innings&amp;runsagainstOpenenets</vt:lpstr>
      <vt:lpstr>battingAvg</vt:lpstr>
      <vt:lpstr>StrikeRate</vt:lpstr>
      <vt:lpstr>half&amp;century</vt:lpstr>
      <vt:lpstr>Four&amp;Six</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2008-2025</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Chetan Verma</cp:lastModifiedBy>
  <dcterms:created xsi:type="dcterms:W3CDTF">2025-10-12T07:41:34Z</dcterms:created>
  <dcterms:modified xsi:type="dcterms:W3CDTF">2026-01-30T12:18:19Z</dcterms:modified>
</cp:coreProperties>
</file>